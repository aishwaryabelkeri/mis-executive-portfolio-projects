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Bucket Summary" sheetId="3" state="visible" r:id="rId5"/>
    <sheet name="Agen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<sst xmlns="http://schemas.openxmlformats.org/spreadsheetml/2006/main" count="311" uniqueCount="217">
  <si>
    <t xml:space="preserve">COLLECTIONS MIS TRACKER — DASHBOARD</t>
  </si>
  <si>
    <t xml:space="preserve">Report Date: 01-Jul-2026</t>
  </si>
  <si>
    <t xml:space="preserve">Total EMI Due</t>
  </si>
  <si>
    <t xml:space="preserve">Total EMI Collected</t>
  </si>
  <si>
    <t xml:space="preserve">Overall Recovery %</t>
  </si>
  <si>
    <t xml:space="preserve">NPA Count</t>
  </si>
  <si>
    <t xml:space="preserve">Report Date:</t>
  </si>
  <si>
    <t xml:space="preserve">2026-07-01</t>
  </si>
  <si>
    <t xml:space="preserve">Customer ID</t>
  </si>
  <si>
    <t xml:space="preserve">Name</t>
  </si>
  <si>
    <t xml:space="preserve">Collection Agent</t>
  </si>
  <si>
    <t xml:space="preserve">Loan Amount (₹)</t>
  </si>
  <si>
    <t xml:space="preserve">EMI Due (₹)</t>
  </si>
  <si>
    <t xml:space="preserve">EMI Collected (₹)</t>
  </si>
  <si>
    <t xml:space="preserve">Due Date</t>
  </si>
  <si>
    <t xml:space="preserve">Collection Date</t>
  </si>
  <si>
    <t xml:space="preserve">Outstanding (₹)</t>
  </si>
  <si>
    <t xml:space="preserve">Days Overdue</t>
  </si>
  <si>
    <t xml:space="preserve">Bucket</t>
  </si>
  <si>
    <t xml:space="preserve">Recovery %</t>
  </si>
  <si>
    <t xml:space="preserve">CUST0001</t>
  </si>
  <si>
    <t xml:space="preserve">Rohan</t>
  </si>
  <si>
    <t xml:space="preserve">Deepak Chauhan</t>
  </si>
  <si>
    <t xml:space="preserve">2026-05-24</t>
  </si>
  <si>
    <t xml:space="preserve">CUST0002</t>
  </si>
  <si>
    <t xml:space="preserve">Kavita</t>
  </si>
  <si>
    <t xml:space="preserve">Manish Bhatt</t>
  </si>
  <si>
    <t xml:space="preserve">2026-04-04</t>
  </si>
  <si>
    <t xml:space="preserve">CUST0003</t>
  </si>
  <si>
    <t xml:space="preserve">Sameer</t>
  </si>
  <si>
    <t xml:space="preserve">2026-06-16</t>
  </si>
  <si>
    <t xml:space="preserve">CUST0004</t>
  </si>
  <si>
    <t xml:space="preserve">Pooja</t>
  </si>
  <si>
    <t xml:space="preserve">Ananya Rao</t>
  </si>
  <si>
    <t xml:space="preserve">2026-05-23</t>
  </si>
  <si>
    <t xml:space="preserve">CUST0005</t>
  </si>
  <si>
    <t xml:space="preserve">Ajay</t>
  </si>
  <si>
    <t xml:space="preserve">2026-07-11</t>
  </si>
  <si>
    <t xml:space="preserve">CUST0006</t>
  </si>
  <si>
    <t xml:space="preserve">Meenal</t>
  </si>
  <si>
    <t xml:space="preserve">2026-06-04</t>
  </si>
  <si>
    <t xml:space="preserve">2026-06-27</t>
  </si>
  <si>
    <t xml:space="preserve">CUST0007</t>
  </si>
  <si>
    <t xml:space="preserve">Tarun</t>
  </si>
  <si>
    <t xml:space="preserve">CUST0008</t>
  </si>
  <si>
    <t xml:space="preserve">Shalini</t>
  </si>
  <si>
    <t xml:space="preserve">2026-04-14</t>
  </si>
  <si>
    <t xml:space="preserve">2026-05-07</t>
  </si>
  <si>
    <t xml:space="preserve">CUST0009</t>
  </si>
  <si>
    <t xml:space="preserve">Vinod</t>
  </si>
  <si>
    <t xml:space="preserve">2026-07-07</t>
  </si>
  <si>
    <t xml:space="preserve">CUST0010</t>
  </si>
  <si>
    <t xml:space="preserve">Anjali</t>
  </si>
  <si>
    <t xml:space="preserve">2026-05-06</t>
  </si>
  <si>
    <t xml:space="preserve">2026-05-31</t>
  </si>
  <si>
    <t xml:space="preserve">CUST0011</t>
  </si>
  <si>
    <t xml:space="preserve">Nikhil</t>
  </si>
  <si>
    <t xml:space="preserve">Farah Sheikh</t>
  </si>
  <si>
    <t xml:space="preserve">2026-05-25</t>
  </si>
  <si>
    <t xml:space="preserve">2026-06-22</t>
  </si>
  <si>
    <t xml:space="preserve">CUST0012</t>
  </si>
  <si>
    <t xml:space="preserve">Rekha</t>
  </si>
  <si>
    <t xml:space="preserve">Ritika Sen</t>
  </si>
  <si>
    <t xml:space="preserve">2026-05-15</t>
  </si>
  <si>
    <t xml:space="preserve">2026-05-16</t>
  </si>
  <si>
    <t xml:space="preserve">CUST0013</t>
  </si>
  <si>
    <t xml:space="preserve">Suraj</t>
  </si>
  <si>
    <t xml:space="preserve">2026-07-16</t>
  </si>
  <si>
    <t xml:space="preserve">CUST0014</t>
  </si>
  <si>
    <t xml:space="preserve">Deepa</t>
  </si>
  <si>
    <t xml:space="preserve">2026-05-04</t>
  </si>
  <si>
    <t xml:space="preserve">2026-05-18</t>
  </si>
  <si>
    <t xml:space="preserve">CUST0015</t>
  </si>
  <si>
    <t xml:space="preserve">Manoj</t>
  </si>
  <si>
    <t xml:space="preserve">2026-06-02</t>
  </si>
  <si>
    <t xml:space="preserve">CUST0016</t>
  </si>
  <si>
    <t xml:space="preserve">Kiran</t>
  </si>
  <si>
    <t xml:space="preserve">2026-06-07</t>
  </si>
  <si>
    <t xml:space="preserve">2026-06-17</t>
  </si>
  <si>
    <t xml:space="preserve">CUST0017</t>
  </si>
  <si>
    <t xml:space="preserve">Ashok</t>
  </si>
  <si>
    <t xml:space="preserve">2026-05-30</t>
  </si>
  <si>
    <t xml:space="preserve">2026-06-01</t>
  </si>
  <si>
    <t xml:space="preserve">CUST0018</t>
  </si>
  <si>
    <t xml:space="preserve">Bhavna</t>
  </si>
  <si>
    <t xml:space="preserve">2026-06-26</t>
  </si>
  <si>
    <t xml:space="preserve">CUST0019</t>
  </si>
  <si>
    <t xml:space="preserve">Girish</t>
  </si>
  <si>
    <t xml:space="preserve">CUST0020</t>
  </si>
  <si>
    <t xml:space="preserve">Hema</t>
  </si>
  <si>
    <t xml:space="preserve">CUST0021</t>
  </si>
  <si>
    <t xml:space="preserve">Imran</t>
  </si>
  <si>
    <t xml:space="preserve">2026-07-10</t>
  </si>
  <si>
    <t xml:space="preserve">CUST0022</t>
  </si>
  <si>
    <t xml:space="preserve">Jyoti</t>
  </si>
  <si>
    <t xml:space="preserve">2026-06-15</t>
  </si>
  <si>
    <t xml:space="preserve">CUST0023</t>
  </si>
  <si>
    <t xml:space="preserve">Kunal</t>
  </si>
  <si>
    <t xml:space="preserve">2026-04-12</t>
  </si>
  <si>
    <t xml:space="preserve">CUST0024</t>
  </si>
  <si>
    <t xml:space="preserve">Lata</t>
  </si>
  <si>
    <t xml:space="preserve">2026-04-24</t>
  </si>
  <si>
    <t xml:space="preserve">2026-04-27</t>
  </si>
  <si>
    <t xml:space="preserve">CUST0025</t>
  </si>
  <si>
    <t xml:space="preserve">Mahesh</t>
  </si>
  <si>
    <t xml:space="preserve">2026-03-26</t>
  </si>
  <si>
    <t xml:space="preserve">CUST0026</t>
  </si>
  <si>
    <t xml:space="preserve">Neelam</t>
  </si>
  <si>
    <t xml:space="preserve">2026-03-23</t>
  </si>
  <si>
    <t xml:space="preserve">CUST0027</t>
  </si>
  <si>
    <t xml:space="preserve">Om</t>
  </si>
  <si>
    <t xml:space="preserve">2026-05-02</t>
  </si>
  <si>
    <t xml:space="preserve">2026-05-03</t>
  </si>
  <si>
    <t xml:space="preserve">CUST0028</t>
  </si>
  <si>
    <t xml:space="preserve">Pallavi</t>
  </si>
  <si>
    <t xml:space="preserve">2026-06-13</t>
  </si>
  <si>
    <t xml:space="preserve">CUST0029</t>
  </si>
  <si>
    <t xml:space="preserve">Qasim</t>
  </si>
  <si>
    <t xml:space="preserve">2026-04-20</t>
  </si>
  <si>
    <t xml:space="preserve">CUST0030</t>
  </si>
  <si>
    <t xml:space="preserve">Rani</t>
  </si>
  <si>
    <t xml:space="preserve">2026-05-27</t>
  </si>
  <si>
    <t xml:space="preserve">2026-05-28</t>
  </si>
  <si>
    <t xml:space="preserve">CUST0031</t>
  </si>
  <si>
    <t xml:space="preserve">Sunil</t>
  </si>
  <si>
    <t xml:space="preserve">2026-03-27</t>
  </si>
  <si>
    <t xml:space="preserve">CUST0032</t>
  </si>
  <si>
    <t xml:space="preserve">Tina</t>
  </si>
  <si>
    <t xml:space="preserve">2026-05-14</t>
  </si>
  <si>
    <t xml:space="preserve">CUST0033</t>
  </si>
  <si>
    <t xml:space="preserve">Umesh</t>
  </si>
  <si>
    <t xml:space="preserve">2026-06-23</t>
  </si>
  <si>
    <t xml:space="preserve">CUST0034</t>
  </si>
  <si>
    <t xml:space="preserve">Varsha</t>
  </si>
  <si>
    <t xml:space="preserve">2026-04-06</t>
  </si>
  <si>
    <t xml:space="preserve">CUST0035</t>
  </si>
  <si>
    <t xml:space="preserve">Yogesh</t>
  </si>
  <si>
    <t xml:space="preserve">CUST0036</t>
  </si>
  <si>
    <t xml:space="preserve">Zara</t>
  </si>
  <si>
    <t xml:space="preserve">2026-04-18</t>
  </si>
  <si>
    <t xml:space="preserve">CUST0037</t>
  </si>
  <si>
    <t xml:space="preserve">Alok</t>
  </si>
  <si>
    <t xml:space="preserve">CUST0038</t>
  </si>
  <si>
    <t xml:space="preserve">Bina</t>
  </si>
  <si>
    <t xml:space="preserve">CUST0039</t>
  </si>
  <si>
    <t xml:space="preserve">Chetan</t>
  </si>
  <si>
    <t xml:space="preserve">2026-07-09</t>
  </si>
  <si>
    <t xml:space="preserve">CUST0040</t>
  </si>
  <si>
    <t xml:space="preserve">Divya</t>
  </si>
  <si>
    <t xml:space="preserve">2026-06-09</t>
  </si>
  <si>
    <t xml:space="preserve">2026-06-21</t>
  </si>
  <si>
    <t xml:space="preserve">CUST0041</t>
  </si>
  <si>
    <t xml:space="preserve">Eshan</t>
  </si>
  <si>
    <t xml:space="preserve">CUST0042</t>
  </si>
  <si>
    <t xml:space="preserve">Falguni</t>
  </si>
  <si>
    <t xml:space="preserve">CUST0043</t>
  </si>
  <si>
    <t xml:space="preserve">Gopal</t>
  </si>
  <si>
    <t xml:space="preserve">2026-07-14</t>
  </si>
  <si>
    <t xml:space="preserve">CUST0044</t>
  </si>
  <si>
    <t xml:space="preserve">Heena</t>
  </si>
  <si>
    <t xml:space="preserve">2026-05-12</t>
  </si>
  <si>
    <t xml:space="preserve">2026-05-26</t>
  </si>
  <si>
    <t xml:space="preserve">CUST0045</t>
  </si>
  <si>
    <t xml:space="preserve">Inder</t>
  </si>
  <si>
    <t xml:space="preserve">2026-05-22</t>
  </si>
  <si>
    <t xml:space="preserve">2026-06-08</t>
  </si>
  <si>
    <t xml:space="preserve">CUST0046</t>
  </si>
  <si>
    <t xml:space="preserve">Jaya</t>
  </si>
  <si>
    <t xml:space="preserve">2026-05-19</t>
  </si>
  <si>
    <t xml:space="preserve">CUST0047</t>
  </si>
  <si>
    <t xml:space="preserve">Kabir</t>
  </si>
  <si>
    <t xml:space="preserve">2026-06-25</t>
  </si>
  <si>
    <t xml:space="preserve">CUST0048</t>
  </si>
  <si>
    <t xml:space="preserve">Leela</t>
  </si>
  <si>
    <t xml:space="preserve">2026-06-24</t>
  </si>
  <si>
    <t xml:space="preserve">2026-06-30</t>
  </si>
  <si>
    <t xml:space="preserve">CUST0049</t>
  </si>
  <si>
    <t xml:space="preserve">Madhav</t>
  </si>
  <si>
    <t xml:space="preserve">CUST0050</t>
  </si>
  <si>
    <t xml:space="preserve">Nisha</t>
  </si>
  <si>
    <t xml:space="preserve">2026-05-29</t>
  </si>
  <si>
    <t xml:space="preserve">CUST0051</t>
  </si>
  <si>
    <t xml:space="preserve">Omkar</t>
  </si>
  <si>
    <t xml:space="preserve">CUST0052</t>
  </si>
  <si>
    <t xml:space="preserve">Priya</t>
  </si>
  <si>
    <t xml:space="preserve">CUST0053</t>
  </si>
  <si>
    <t xml:space="preserve">Rajat</t>
  </si>
  <si>
    <t xml:space="preserve">2026-07-03</t>
  </si>
  <si>
    <t xml:space="preserve">CUST0054</t>
  </si>
  <si>
    <t xml:space="preserve">Sonia</t>
  </si>
  <si>
    <t xml:space="preserve">2026-04-21</t>
  </si>
  <si>
    <t xml:space="preserve">CUST0055</t>
  </si>
  <si>
    <t xml:space="preserve">Tejas</t>
  </si>
  <si>
    <t xml:space="preserve">2026-06-05</t>
  </si>
  <si>
    <t xml:space="preserve">2026-06-14</t>
  </si>
  <si>
    <t xml:space="preserve">CUST0056</t>
  </si>
  <si>
    <t xml:space="preserve">Usha</t>
  </si>
  <si>
    <t xml:space="preserve">2026-05-01</t>
  </si>
  <si>
    <t xml:space="preserve">CUST0057</t>
  </si>
  <si>
    <t xml:space="preserve">Vikas</t>
  </si>
  <si>
    <t xml:space="preserve">2026-06-29</t>
  </si>
  <si>
    <t xml:space="preserve">CUST0058</t>
  </si>
  <si>
    <t xml:space="preserve">Wasim</t>
  </si>
  <si>
    <t xml:space="preserve">2026-06-10</t>
  </si>
  <si>
    <t xml:space="preserve">CUST0059</t>
  </si>
  <si>
    <t xml:space="preserve">Yamini</t>
  </si>
  <si>
    <t xml:space="preserve">CUST0060</t>
  </si>
  <si>
    <t xml:space="preserve">Zoya</t>
  </si>
  <si>
    <t xml:space="preserve">2026-06-28</t>
  </si>
  <si>
    <t xml:space="preserve">Outstanding by Aging Bucket</t>
  </si>
  <si>
    <t xml:space="preserve">Sum of Outstanding</t>
  </si>
  <si>
    <t xml:space="preserve">Not Due</t>
  </si>
  <si>
    <t xml:space="preserve">Bucket 1</t>
  </si>
  <si>
    <t xml:space="preserve">Bucket 2</t>
  </si>
  <si>
    <t xml:space="preserve">Bucket 3</t>
  </si>
  <si>
    <t xml:space="preserve">NPA</t>
  </si>
  <si>
    <t xml:space="preserve">Collection by Agent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</si>
</sst>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\%"/>
    <numFmt numFmtId="167" formatCode="0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A15C00"/>
      </font>
      <fill>
        <patternFill>
          <bgColor rgb="FFFFE0B2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A15C00"/>
      <rgbColor rgb="FF6A1B9A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7D32"/>
      <rgbColor rgb="FF003300"/>
      <rgbColor rgb="FF333300"/>
      <rgbColor rgb="FFC0392B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Outstanding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'Bucket Summary'!B3</c:f>
              <c:strCache>
                <c:ptCount val="1"/>
                <c:pt idx="0">
                  <c:v>Sum of Outstanding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'Bucket Summary'!$A$4:$A$8</c:f>
              <c:strCache>
                <c:ptCount val="5"/>
                <c:pt idx="0">
                  <c:v>Not Due</c:v>
                </c:pt>
                <c:pt idx="1">
                  <c:v>Bucket 1</c:v>
                </c:pt>
                <c:pt idx="2">
                  <c:v>Bucket 2</c:v>
                </c:pt>
                <c:pt idx="3">
                  <c:v>Bucket 3</c:v>
                </c:pt>
                <c:pt idx="4">
                  <c:v>NPA</c:v>
                </c:pt>
              </c:strCache>
            </c:strRef>
          </c:cat>
          <c:val>
            <c:numRef>
              <c:f>'Bucket Summary'!$B$4:$B$8</c:f>
              <c:numCache>
                <c:formatCode>\₹#,##0</c:formatCode>
                <c:ptCount val="5"/>
                <c:pt idx="0">
                  <c:v>4575000</c:v>
                </c:pt>
                <c:pt idx="1">
                  <c:v>6973079</c:v>
                </c:pt>
                <c:pt idx="2">
                  <c:v>11523289</c:v>
                </c:pt>
                <c:pt idx="3">
                  <c:v>4819959</c:v>
                </c:pt>
                <c:pt idx="4">
                  <c:v>2521497</c:v>
                </c:pt>
              </c:numCache>
            </c:numRef>
          </c:val>
        </c:ser>
        <c:gapWidth val="150"/>
        <c:overlap val="0"/>
        <c:axId val="66737768"/>
        <c:axId val="97814629"/>
      </c:barChart>
      <c:catAx>
        <c:axId val="6673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14629"/>
        <c:crosses val="autoZero"/>
        <c:auto val="1"/>
        <c:lblAlgn val="ctr"/>
        <c:lblOffset val="100"/>
        <c:noMultiLvlLbl val="0"/>
      </c:catAx>
      <c:valAx>
        <c:axId val="97814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377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EMI Collected by Agent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'Agent Summary'!B3</c:f>
              <c:strCache>
                <c:ptCount val="1"/>
                <c:pt idx="0">
                  <c:v>EMI Collected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'Agent Summary'!$A$4:$A$8</c:f>
              <c:strCache>
                <c:ptCount val="5"/>
                <c:pt idx="0">
                  <c:v>Ananya Rao</c:v>
                </c:pt>
                <c:pt idx="1">
                  <c:v>Deepak Chauhan</c:v>
                </c:pt>
                <c:pt idx="2">
                  <c:v>Farah Sheikh</c:v>
                </c:pt>
                <c:pt idx="3">
                  <c:v>Manish Bhatt</c:v>
                </c:pt>
                <c:pt idx="4">
                  <c:v>Ritika Sen</c:v>
                </c:pt>
              </c:strCache>
            </c:strRef>
          </c:cat>
          <c:val>
            <c:numRef>
              <c:f>'Agent Summary'!$B$4:$B$8</c:f>
              <c:numCache>
                <c:formatCode>\₹#,##0</c:formatCode>
                <c:ptCount val="5"/>
                <c:pt idx="0">
                  <c:v>284601</c:v>
                </c:pt>
                <c:pt idx="1">
                  <c:v>85231</c:v>
                </c:pt>
                <c:pt idx="2">
                  <c:v>195820</c:v>
                </c:pt>
                <c:pt idx="3">
                  <c:v>87806</c:v>
                </c:pt>
                <c:pt idx="4">
                  <c:v>83718</c:v>
                </c:pt>
              </c:numCache>
            </c:numRef>
          </c:val>
        </c:ser>
        <c:gapWidth val="150"/>
        <c:overlap val="0"/>
        <c:axId val="11434919"/>
        <c:axId val="6392165"/>
      </c:barChart>
      <c:catAx>
        <c:axId val="1143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2165"/>
        <c:crosses val="autoZero"/>
        <c:auto val="1"/>
        <c:lblAlgn val="ctr"/>
        <c:lblOffset val="100"/>
        <c:noMultiLvlLbl val="0"/>
      </c:catAx>
      <c:valAx>
        <c:axId val="6392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34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Outstanding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'Bucket Summary'!B3</c:f>
              <c:strCache>
                <c:ptCount val="1"/>
                <c:pt idx="0">
                  <c:v>Sum of Outstanding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'Bucket Summary'!$A$4:$A$8</c:f>
              <c:strCache>
                <c:ptCount val="5"/>
                <c:pt idx="0">
                  <c:v>Not Due</c:v>
                </c:pt>
                <c:pt idx="1">
                  <c:v>Bucket 1</c:v>
                </c:pt>
                <c:pt idx="2">
                  <c:v>Bucket 2</c:v>
                </c:pt>
                <c:pt idx="3">
                  <c:v>Bucket 3</c:v>
                </c:pt>
                <c:pt idx="4">
                  <c:v>NPA</c:v>
                </c:pt>
              </c:strCache>
            </c:strRef>
          </c:cat>
          <c:val>
            <c:numRef>
              <c:f>'Bucket Summary'!$B$4:$B$8</c:f>
              <c:numCache>
                <c:formatCode>\₹#,##0</c:formatCode>
                <c:ptCount val="5"/>
                <c:pt idx="0">
                  <c:v>4575000</c:v>
                </c:pt>
                <c:pt idx="1">
                  <c:v>6973079</c:v>
                </c:pt>
                <c:pt idx="2">
                  <c:v>11523289</c:v>
                </c:pt>
                <c:pt idx="3">
                  <c:v>4819959</c:v>
                </c:pt>
                <c:pt idx="4">
                  <c:v>2521497</c:v>
                </c:pt>
              </c:numCache>
            </c:numRef>
          </c:val>
        </c:ser>
        <c:gapWidth val="150"/>
        <c:overlap val="0"/>
        <c:axId val="8936258"/>
        <c:axId val="32720611"/>
      </c:barChart>
      <c:catAx>
        <c:axId val="8936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20611"/>
        <c:crosses val="autoZero"/>
        <c:auto val="1"/>
        <c:lblAlgn val="ctr"/>
        <c:lblOffset val="100"/>
        <c:noMultiLvlLbl val="0"/>
      </c:catAx>
      <c:valAx>
        <c:axId val="32720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Outstanding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6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EMI Collected by Agent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'Agent Summary'!B3</c:f>
              <c:strCache>
                <c:ptCount val="1"/>
                <c:pt idx="0">
                  <c:v>EMI Collected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'Agent Summary'!$A$4:$A$8</c:f>
              <c:strCache>
                <c:ptCount val="5"/>
                <c:pt idx="0">
                  <c:v>Ananya Rao</c:v>
                </c:pt>
                <c:pt idx="1">
                  <c:v>Deepak Chauhan</c:v>
                </c:pt>
                <c:pt idx="2">
                  <c:v>Farah Sheikh</c:v>
                </c:pt>
                <c:pt idx="3">
                  <c:v>Manish Bhatt</c:v>
                </c:pt>
                <c:pt idx="4">
                  <c:v>Ritika Sen</c:v>
                </c:pt>
              </c:strCache>
            </c:strRef>
          </c:cat>
          <c:val>
            <c:numRef>
              <c:f>'Agent Summary'!$B$4:$B$8</c:f>
              <c:numCache>
                <c:formatCode>\₹#,##0</c:formatCode>
                <c:ptCount val="5"/>
                <c:pt idx="0">
                  <c:v>284601</c:v>
                </c:pt>
                <c:pt idx="1">
                  <c:v>85231</c:v>
                </c:pt>
                <c:pt idx="2">
                  <c:v>195820</c:v>
                </c:pt>
                <c:pt idx="3">
                  <c:v>87806</c:v>
                </c:pt>
                <c:pt idx="4">
                  <c:v>83718</c:v>
                </c:pt>
              </c:numCache>
            </c:numRef>
          </c:val>
        </c:ser>
        <c:gapWidth val="150"/>
        <c:overlap val="0"/>
        <c:axId val="89297218"/>
        <c:axId val="64187200"/>
      </c:barChart>
      <c:catAx>
        <c:axId val="89297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87200"/>
        <c:crosses val="autoZero"/>
        <c:auto val="1"/>
        <c:lblAlgn val="ctr"/>
        <c:lblOffset val="100"/>
        <c:noMultiLvlLbl val="0"/>
      </c:catAx>
      <c:valAx>
        <c:axId val="64187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EMI Collected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972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130680</xdr:rowOff>
    </xdr:from>
    <xdr:to>
      <xdr:col>5</xdr:col>
      <xdr:colOff>473400</xdr:colOff>
      <xdr:row>24</xdr:row>
      <xdr:rowOff>131760</xdr:rowOff>
    </xdr:to>
    <xdr:graphicFrame>
      <xdr:nvGraphicFramePr>
        <xdr:cNvPr id="0" name="Chart 1"/>
        <xdr:cNvGraphicFramePr/>
      </xdr:nvGraphicFramePr>
      <xdr:xfrm>
        <a:off x="0" y="1838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130680</xdr:rowOff>
    </xdr:from>
    <xdr:to>
      <xdr:col>5</xdr:col>
      <xdr:colOff>473400</xdr:colOff>
      <xdr:row>41</xdr:row>
      <xdr:rowOff>131760</xdr:rowOff>
    </xdr:to>
    <xdr:graphicFrame>
      <xdr:nvGraphicFramePr>
        <xdr:cNvPr id="1" name="Chart 2"/>
        <xdr:cNvGraphicFramePr/>
      </xdr:nvGraphicFramePr>
      <xdr:xfrm>
        <a:off x="0" y="5076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255960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28670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13</xdr:col>
      <xdr:colOff>256320</xdr:colOff>
      <xdr:row>18</xdr:row>
      <xdr:rowOff>161640</xdr:rowOff>
    </xdr:to>
    <xdr:graphicFrame>
      <xdr:nvGraphicFramePr>
        <xdr:cNvPr id="3" name="Chart 1"/>
        <xdr:cNvGraphicFramePr/>
      </xdr:nvGraphicFramePr>
      <xdr:xfrm>
        <a:off x="39949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customFormat="false" ht="39.75" hidden="false" customHeight="true" outlineLevel="0" collapsed="false">
      <c r="A5" s="7" t="n">
        <f aca="false">SUM('Raw Data'!E4:E63)</f>
        <v>1718500</v>
      </c>
      <c r="B5" s="7"/>
      <c r="C5" s="8" t="n">
        <f aca="false">SUM('Raw Data'!F4:F63)</f>
        <v>737176</v>
      </c>
      <c r="D5" s="8"/>
      <c r="E5" s="9" t="n">
        <f aca="false">SUM('Raw Data'!F4:F63)/SUM('Raw Data'!E4:E63)*100</f>
        <v>42.8964794879255</v>
      </c>
      <c r="F5" s="9"/>
      <c r="G5" s="10" t="n">
        <f aca="false">COUNTIF('Raw Data'!K4:K63,"NPA")</f>
        <v>4</v>
      </c>
      <c r="H5" s="10"/>
    </row>
    <row r="6" customFormat="false" ht="15" hidden="false" customHeight="false" outlineLevel="0" collapsed="false">
      <c r="A6" s="7"/>
      <c r="B6" s="7"/>
      <c r="C6" s="8"/>
      <c r="D6" s="8"/>
      <c r="E6" s="9"/>
      <c r="F6" s="9"/>
      <c r="G6" s="10"/>
      <c r="H6" s="10"/>
    </row>
    <row r="7" customFormat="false" ht="15" hidden="false" customHeight="false" outlineLevel="0" collapsed="false">
      <c r="A7" s="7"/>
      <c r="B7" s="7"/>
      <c r="C7" s="8"/>
      <c r="D7" s="8"/>
      <c r="E7" s="9"/>
      <c r="F7" s="9"/>
      <c r="G7" s="10"/>
      <c r="H7" s="10"/>
    </row>
  </sheetData>
  <mergeCells count="9">
    <mergeCell ref="A1:H1"/>
    <mergeCell ref="A4:B4"/>
    <mergeCell ref="C4:D4"/>
    <mergeCell ref="E4:F4"/>
    <mergeCell ref="G4:H4"/>
    <mergeCell ref="A5:B7"/>
    <mergeCell ref="C5:D7"/>
    <mergeCell ref="E5:F7"/>
    <mergeCell ref="G5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</cols>
  <sheetData>
    <row r="1" customFormat="false" ht="15" hidden="false" customHeight="false" outlineLevel="0" collapsed="false">
      <c r="A1" s="11" t="s">
        <v>6</v>
      </c>
      <c r="B1" s="12" t="s">
        <v>7</v>
      </c>
    </row>
    <row r="3" customFormat="false" ht="15" hidden="false" customHeight="false" outlineLevel="0" collapsed="false">
      <c r="A3" s="13" t="s">
        <v>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3" t="s">
        <v>15</v>
      </c>
      <c r="I3" s="13" t="s">
        <v>16</v>
      </c>
      <c r="J3" s="13" t="s">
        <v>17</v>
      </c>
      <c r="K3" s="13" t="s">
        <v>18</v>
      </c>
      <c r="L3" s="13" t="s">
        <v>19</v>
      </c>
    </row>
    <row r="4" customFormat="false" ht="15" hidden="false" customHeight="false" outlineLevel="0" collapsed="false">
      <c r="A4" s="14" t="s">
        <v>20</v>
      </c>
      <c r="B4" s="14" t="s">
        <v>21</v>
      </c>
      <c r="C4" s="14" t="s">
        <v>22</v>
      </c>
      <c r="D4" s="15" t="n">
        <v>750000</v>
      </c>
      <c r="E4" s="15" t="n">
        <v>49000</v>
      </c>
      <c r="F4" s="15" t="n">
        <v>0</v>
      </c>
      <c r="G4" s="16" t="s">
        <v>23</v>
      </c>
      <c r="H4" s="14"/>
      <c r="I4" s="17" t="n">
        <f aca="false">D4-F4</f>
        <v>750000</v>
      </c>
      <c r="J4" s="14" t="n">
        <f aca="false">$B$1-G4</f>
        <v>38</v>
      </c>
      <c r="K4" s="14" t="str">
        <f aca="false">IF(J4&lt;0,"Not Due",IF(J4&lt;=30,"Bucket 1",IF(J4&lt;=60,"Bucket 2",IF(J4&lt;=90,"Bucket 3","NPA"))))</f>
        <v>Bucket 2</v>
      </c>
      <c r="L4" s="18" t="n">
        <f aca="false">F4/E4*100</f>
        <v>0</v>
      </c>
    </row>
    <row r="5" customFormat="false" ht="15" hidden="false" customHeight="false" outlineLevel="0" collapsed="false">
      <c r="A5" s="14" t="s">
        <v>24</v>
      </c>
      <c r="B5" s="14" t="s">
        <v>25</v>
      </c>
      <c r="C5" s="14" t="s">
        <v>26</v>
      </c>
      <c r="D5" s="15" t="n">
        <v>425000</v>
      </c>
      <c r="E5" s="15" t="n">
        <v>35000</v>
      </c>
      <c r="F5" s="15" t="n">
        <v>0</v>
      </c>
      <c r="G5" s="16" t="s">
        <v>27</v>
      </c>
      <c r="H5" s="14"/>
      <c r="I5" s="17" t="n">
        <f aca="false">D5-F5</f>
        <v>425000</v>
      </c>
      <c r="J5" s="14" t="n">
        <f aca="false">$B$1-G5</f>
        <v>88</v>
      </c>
      <c r="K5" s="14" t="str">
        <f aca="false">IF(J5&lt;0,"Not Due",IF(J5&lt;=30,"Bucket 1",IF(J5&lt;=60,"Bucket 2",IF(J5&lt;=90,"Bucket 3","NPA"))))</f>
        <v>Bucket 3</v>
      </c>
      <c r="L5" s="18" t="n">
        <f aca="false">F5/E5*100</f>
        <v>0</v>
      </c>
    </row>
    <row r="6" customFormat="false" ht="15" hidden="false" customHeight="false" outlineLevel="0" collapsed="false">
      <c r="A6" s="14" t="s">
        <v>28</v>
      </c>
      <c r="B6" s="14" t="s">
        <v>29</v>
      </c>
      <c r="C6" s="14" t="s">
        <v>22</v>
      </c>
      <c r="D6" s="15" t="n">
        <v>900000</v>
      </c>
      <c r="E6" s="15" t="n">
        <v>38500</v>
      </c>
      <c r="F6" s="15" t="n">
        <v>0</v>
      </c>
      <c r="G6" s="16" t="s">
        <v>30</v>
      </c>
      <c r="H6" s="14"/>
      <c r="I6" s="17" t="n">
        <f aca="false">D6-F6</f>
        <v>900000</v>
      </c>
      <c r="J6" s="14" t="n">
        <f aca="false">$B$1-G6</f>
        <v>15</v>
      </c>
      <c r="K6" s="14" t="str">
        <f aca="false">IF(J6&lt;0,"Not Due",IF(J6&lt;=30,"Bucket 1",IF(J6&lt;=60,"Bucket 2",IF(J6&lt;=90,"Bucket 3","NPA"))))</f>
        <v>Bucket 1</v>
      </c>
      <c r="L6" s="18" t="n">
        <f aca="false">F6/E6*100</f>
        <v>0</v>
      </c>
    </row>
    <row r="7" customFormat="false" ht="15" hidden="false" customHeight="false" outlineLevel="0" collapsed="false">
      <c r="A7" s="14" t="s">
        <v>31</v>
      </c>
      <c r="B7" s="14" t="s">
        <v>32</v>
      </c>
      <c r="C7" s="14" t="s">
        <v>33</v>
      </c>
      <c r="D7" s="15" t="n">
        <v>675000</v>
      </c>
      <c r="E7" s="15" t="n">
        <v>42000</v>
      </c>
      <c r="F7" s="15" t="n">
        <v>42000</v>
      </c>
      <c r="G7" s="16" t="s">
        <v>34</v>
      </c>
      <c r="H7" s="16" t="s">
        <v>7</v>
      </c>
      <c r="I7" s="17" t="n">
        <f aca="false">D7-F7</f>
        <v>633000</v>
      </c>
      <c r="J7" s="14" t="n">
        <f aca="false">$B$1-G7</f>
        <v>39</v>
      </c>
      <c r="K7" s="14" t="str">
        <f aca="false">IF(J7&lt;0,"Not Due",IF(J7&lt;=30,"Bucket 1",IF(J7&lt;=60,"Bucket 2",IF(J7&lt;=90,"Bucket 3","NPA"))))</f>
        <v>Bucket 2</v>
      </c>
      <c r="L7" s="18" t="n">
        <f aca="false">F7/E7*100</f>
        <v>100</v>
      </c>
    </row>
    <row r="8" customFormat="false" ht="15" hidden="false" customHeight="false" outlineLevel="0" collapsed="false">
      <c r="A8" s="14" t="s">
        <v>35</v>
      </c>
      <c r="B8" s="14" t="s">
        <v>36</v>
      </c>
      <c r="C8" s="14" t="s">
        <v>22</v>
      </c>
      <c r="D8" s="15" t="n">
        <v>450000</v>
      </c>
      <c r="E8" s="15" t="n">
        <v>49000</v>
      </c>
      <c r="F8" s="15" t="n">
        <v>0</v>
      </c>
      <c r="G8" s="16" t="s">
        <v>37</v>
      </c>
      <c r="H8" s="14"/>
      <c r="I8" s="17" t="n">
        <f aca="false">D8-F8</f>
        <v>450000</v>
      </c>
      <c r="J8" s="14" t="n">
        <f aca="false">$B$1-G8</f>
        <v>-10</v>
      </c>
      <c r="K8" s="14" t="str">
        <f aca="false">IF(J8&lt;0,"Not Due",IF(J8&lt;=30,"Bucket 1",IF(J8&lt;=60,"Bucket 2",IF(J8&lt;=90,"Bucket 3","NPA"))))</f>
        <v>Not Due</v>
      </c>
      <c r="L8" s="18" t="n">
        <f aca="false">F8/E8*100</f>
        <v>0</v>
      </c>
    </row>
    <row r="9" customFormat="false" ht="15" hidden="false" customHeight="false" outlineLevel="0" collapsed="false">
      <c r="A9" s="14" t="s">
        <v>38</v>
      </c>
      <c r="B9" s="14" t="s">
        <v>39</v>
      </c>
      <c r="C9" s="14" t="s">
        <v>26</v>
      </c>
      <c r="D9" s="15" t="n">
        <v>800000</v>
      </c>
      <c r="E9" s="15" t="n">
        <v>7000</v>
      </c>
      <c r="F9" s="15" t="n">
        <v>4314</v>
      </c>
      <c r="G9" s="16" t="s">
        <v>40</v>
      </c>
      <c r="H9" s="16" t="s">
        <v>41</v>
      </c>
      <c r="I9" s="17" t="n">
        <f aca="false">D9-F9</f>
        <v>795686</v>
      </c>
      <c r="J9" s="14" t="n">
        <f aca="false">$B$1-G9</f>
        <v>27</v>
      </c>
      <c r="K9" s="14" t="str">
        <f aca="false">IF(J9&lt;0,"Not Due",IF(J9&lt;=30,"Bucket 1",IF(J9&lt;=60,"Bucket 2",IF(J9&lt;=90,"Bucket 3","NPA"))))</f>
        <v>Bucket 1</v>
      </c>
      <c r="L9" s="18" t="n">
        <f aca="false">F9/E9*100</f>
        <v>61.6285714285714</v>
      </c>
    </row>
    <row r="10" customFormat="false" ht="15" hidden="false" customHeight="false" outlineLevel="0" collapsed="false">
      <c r="A10" s="14" t="s">
        <v>42</v>
      </c>
      <c r="B10" s="14" t="s">
        <v>43</v>
      </c>
      <c r="C10" s="14" t="s">
        <v>33</v>
      </c>
      <c r="D10" s="15" t="n">
        <v>325000</v>
      </c>
      <c r="E10" s="15" t="n">
        <v>10500</v>
      </c>
      <c r="F10" s="15" t="n">
        <v>10500</v>
      </c>
      <c r="G10" s="16" t="s">
        <v>7</v>
      </c>
      <c r="H10" s="16" t="s">
        <v>7</v>
      </c>
      <c r="I10" s="17" t="n">
        <f aca="false">D10-F10</f>
        <v>314500</v>
      </c>
      <c r="J10" s="14" t="n">
        <f aca="false">$B$1-G10</f>
        <v>0</v>
      </c>
      <c r="K10" s="14" t="str">
        <f aca="false">IF(J10&lt;0,"Not Due",IF(J10&lt;=30,"Bucket 1",IF(J10&lt;=60,"Bucket 2",IF(J10&lt;=90,"Bucket 3","NPA"))))</f>
        <v>Bucket 1</v>
      </c>
      <c r="L10" s="18" t="n">
        <f aca="false">F10/E10*100</f>
        <v>100</v>
      </c>
    </row>
    <row r="11" customFormat="false" ht="15" hidden="false" customHeight="false" outlineLevel="0" collapsed="false">
      <c r="A11" s="14" t="s">
        <v>44</v>
      </c>
      <c r="B11" s="14" t="s">
        <v>45</v>
      </c>
      <c r="C11" s="14" t="s">
        <v>26</v>
      </c>
      <c r="D11" s="15" t="n">
        <v>350000</v>
      </c>
      <c r="E11" s="15" t="n">
        <v>40000</v>
      </c>
      <c r="F11" s="15" t="n">
        <v>19632</v>
      </c>
      <c r="G11" s="16" t="s">
        <v>46</v>
      </c>
      <c r="H11" s="16" t="s">
        <v>47</v>
      </c>
      <c r="I11" s="17" t="n">
        <f aca="false">D11-F11</f>
        <v>330368</v>
      </c>
      <c r="J11" s="14" t="n">
        <f aca="false">$B$1-G11</f>
        <v>78</v>
      </c>
      <c r="K11" s="14" t="str">
        <f aca="false">IF(J11&lt;0,"Not Due",IF(J11&lt;=30,"Bucket 1",IF(J11&lt;=60,"Bucket 2",IF(J11&lt;=90,"Bucket 3","NPA"))))</f>
        <v>Bucket 3</v>
      </c>
      <c r="L11" s="18" t="n">
        <f aca="false">F11/E11*100</f>
        <v>49.08</v>
      </c>
    </row>
    <row r="12" customFormat="false" ht="15" hidden="false" customHeight="false" outlineLevel="0" collapsed="false">
      <c r="A12" s="14" t="s">
        <v>48</v>
      </c>
      <c r="B12" s="14" t="s">
        <v>49</v>
      </c>
      <c r="C12" s="14" t="s">
        <v>33</v>
      </c>
      <c r="D12" s="15" t="n">
        <v>850000</v>
      </c>
      <c r="E12" s="15" t="n">
        <v>20000</v>
      </c>
      <c r="F12" s="15" t="n">
        <v>0</v>
      </c>
      <c r="G12" s="16" t="s">
        <v>50</v>
      </c>
      <c r="H12" s="14"/>
      <c r="I12" s="17" t="n">
        <f aca="false">D12-F12</f>
        <v>850000</v>
      </c>
      <c r="J12" s="14" t="n">
        <f aca="false">$B$1-G12</f>
        <v>-6</v>
      </c>
      <c r="K12" s="14" t="str">
        <f aca="false">IF(J12&lt;0,"Not Due",IF(J12&lt;=30,"Bucket 1",IF(J12&lt;=60,"Bucket 2",IF(J12&lt;=90,"Bucket 3","NPA"))))</f>
        <v>Not Due</v>
      </c>
      <c r="L12" s="18" t="n">
        <f aca="false">F12/E12*100</f>
        <v>0</v>
      </c>
    </row>
    <row r="13" customFormat="false" ht="15" hidden="false" customHeight="false" outlineLevel="0" collapsed="false">
      <c r="A13" s="14" t="s">
        <v>51</v>
      </c>
      <c r="B13" s="14" t="s">
        <v>52</v>
      </c>
      <c r="C13" s="14" t="s">
        <v>22</v>
      </c>
      <c r="D13" s="15" t="n">
        <v>200000</v>
      </c>
      <c r="E13" s="15" t="n">
        <v>12500</v>
      </c>
      <c r="F13" s="15" t="n">
        <v>8702</v>
      </c>
      <c r="G13" s="16" t="s">
        <v>53</v>
      </c>
      <c r="H13" s="16" t="s">
        <v>54</v>
      </c>
      <c r="I13" s="17" t="n">
        <f aca="false">D13-F13</f>
        <v>191298</v>
      </c>
      <c r="J13" s="14" t="n">
        <f aca="false">$B$1-G13</f>
        <v>56</v>
      </c>
      <c r="K13" s="14" t="str">
        <f aca="false">IF(J13&lt;0,"Not Due",IF(J13&lt;=30,"Bucket 1",IF(J13&lt;=60,"Bucket 2",IF(J13&lt;=90,"Bucket 3","NPA"))))</f>
        <v>Bucket 2</v>
      </c>
      <c r="L13" s="18" t="n">
        <f aca="false">F13/E13*100</f>
        <v>69.616</v>
      </c>
    </row>
    <row r="14" customFormat="false" ht="15" hidden="false" customHeight="false" outlineLevel="0" collapsed="false">
      <c r="A14" s="14" t="s">
        <v>55</v>
      </c>
      <c r="B14" s="14" t="s">
        <v>56</v>
      </c>
      <c r="C14" s="14" t="s">
        <v>57</v>
      </c>
      <c r="D14" s="15" t="n">
        <v>325000</v>
      </c>
      <c r="E14" s="15" t="n">
        <v>39000</v>
      </c>
      <c r="F14" s="15" t="n">
        <v>39000</v>
      </c>
      <c r="G14" s="16" t="s">
        <v>58</v>
      </c>
      <c r="H14" s="16" t="s">
        <v>59</v>
      </c>
      <c r="I14" s="17" t="n">
        <f aca="false">D14-F14</f>
        <v>286000</v>
      </c>
      <c r="J14" s="14" t="n">
        <f aca="false">$B$1-G14</f>
        <v>37</v>
      </c>
      <c r="K14" s="14" t="str">
        <f aca="false">IF(J14&lt;0,"Not Due",IF(J14&lt;=30,"Bucket 1",IF(J14&lt;=60,"Bucket 2",IF(J14&lt;=90,"Bucket 3","NPA"))))</f>
        <v>Bucket 2</v>
      </c>
      <c r="L14" s="18" t="n">
        <f aca="false">F14/E14*100</f>
        <v>100</v>
      </c>
    </row>
    <row r="15" customFormat="false" ht="15" hidden="false" customHeight="false" outlineLevel="0" collapsed="false">
      <c r="A15" s="14" t="s">
        <v>60</v>
      </c>
      <c r="B15" s="14" t="s">
        <v>61</v>
      </c>
      <c r="C15" s="14" t="s">
        <v>62</v>
      </c>
      <c r="D15" s="15" t="n">
        <v>700000</v>
      </c>
      <c r="E15" s="15" t="n">
        <v>25000</v>
      </c>
      <c r="F15" s="15" t="n">
        <v>25000</v>
      </c>
      <c r="G15" s="16" t="s">
        <v>63</v>
      </c>
      <c r="H15" s="16" t="s">
        <v>64</v>
      </c>
      <c r="I15" s="17" t="n">
        <f aca="false">D15-F15</f>
        <v>675000</v>
      </c>
      <c r="J15" s="14" t="n">
        <f aca="false">$B$1-G15</f>
        <v>47</v>
      </c>
      <c r="K15" s="14" t="str">
        <f aca="false">IF(J15&lt;0,"Not Due",IF(J15&lt;=30,"Bucket 1",IF(J15&lt;=60,"Bucket 2",IF(J15&lt;=90,"Bucket 3","NPA"))))</f>
        <v>Bucket 2</v>
      </c>
      <c r="L15" s="18" t="n">
        <f aca="false">F15/E15*100</f>
        <v>100</v>
      </c>
    </row>
    <row r="16" customFormat="false" ht="15" hidden="false" customHeight="false" outlineLevel="0" collapsed="false">
      <c r="A16" s="14" t="s">
        <v>65</v>
      </c>
      <c r="B16" s="14" t="s">
        <v>66</v>
      </c>
      <c r="C16" s="14" t="s">
        <v>33</v>
      </c>
      <c r="D16" s="15" t="n">
        <v>350000</v>
      </c>
      <c r="E16" s="15" t="n">
        <v>36500</v>
      </c>
      <c r="F16" s="15" t="n">
        <v>0</v>
      </c>
      <c r="G16" s="16" t="s">
        <v>67</v>
      </c>
      <c r="H16" s="14"/>
      <c r="I16" s="17" t="n">
        <f aca="false">D16-F16</f>
        <v>350000</v>
      </c>
      <c r="J16" s="14" t="n">
        <f aca="false">$B$1-G16</f>
        <v>-15</v>
      </c>
      <c r="K16" s="14" t="str">
        <f aca="false">IF(J16&lt;0,"Not Due",IF(J16&lt;=30,"Bucket 1",IF(J16&lt;=60,"Bucket 2",IF(J16&lt;=90,"Bucket 3","NPA"))))</f>
        <v>Not Due</v>
      </c>
      <c r="L16" s="18" t="n">
        <f aca="false">F16/E16*100</f>
        <v>0</v>
      </c>
    </row>
    <row r="17" customFormat="false" ht="15" hidden="false" customHeight="false" outlineLevel="0" collapsed="false">
      <c r="A17" s="14" t="s">
        <v>68</v>
      </c>
      <c r="B17" s="14" t="s">
        <v>69</v>
      </c>
      <c r="C17" s="14" t="s">
        <v>62</v>
      </c>
      <c r="D17" s="15" t="n">
        <v>925000</v>
      </c>
      <c r="E17" s="15" t="n">
        <v>19000</v>
      </c>
      <c r="F17" s="15" t="n">
        <v>10143</v>
      </c>
      <c r="G17" s="16" t="s">
        <v>70</v>
      </c>
      <c r="H17" s="16" t="s">
        <v>71</v>
      </c>
      <c r="I17" s="17" t="n">
        <f aca="false">D17-F17</f>
        <v>914857</v>
      </c>
      <c r="J17" s="14" t="n">
        <f aca="false">$B$1-G17</f>
        <v>58</v>
      </c>
      <c r="K17" s="14" t="str">
        <f aca="false">IF(J17&lt;0,"Not Due",IF(J17&lt;=30,"Bucket 1",IF(J17&lt;=60,"Bucket 2",IF(J17&lt;=90,"Bucket 3","NPA"))))</f>
        <v>Bucket 2</v>
      </c>
      <c r="L17" s="18" t="n">
        <f aca="false">F17/E17*100</f>
        <v>53.3842105263158</v>
      </c>
    </row>
    <row r="18" customFormat="false" ht="15" hidden="false" customHeight="false" outlineLevel="0" collapsed="false">
      <c r="A18" s="14" t="s">
        <v>72</v>
      </c>
      <c r="B18" s="14" t="s">
        <v>73</v>
      </c>
      <c r="C18" s="14" t="s">
        <v>22</v>
      </c>
      <c r="D18" s="15" t="n">
        <v>350000</v>
      </c>
      <c r="E18" s="15" t="n">
        <v>45000</v>
      </c>
      <c r="F18" s="15" t="n">
        <v>0</v>
      </c>
      <c r="G18" s="16" t="s">
        <v>74</v>
      </c>
      <c r="H18" s="14"/>
      <c r="I18" s="17" t="n">
        <f aca="false">D18-F18</f>
        <v>350000</v>
      </c>
      <c r="J18" s="14" t="n">
        <f aca="false">$B$1-G18</f>
        <v>29</v>
      </c>
      <c r="K18" s="14" t="str">
        <f aca="false">IF(J18&lt;0,"Not Due",IF(J18&lt;=30,"Bucket 1",IF(J18&lt;=60,"Bucket 2",IF(J18&lt;=90,"Bucket 3","NPA"))))</f>
        <v>Bucket 1</v>
      </c>
      <c r="L18" s="18" t="n">
        <f aca="false">F18/E18*100</f>
        <v>0</v>
      </c>
    </row>
    <row r="19" customFormat="false" ht="15" hidden="false" customHeight="false" outlineLevel="0" collapsed="false">
      <c r="A19" s="14" t="s">
        <v>75</v>
      </c>
      <c r="B19" s="14" t="s">
        <v>76</v>
      </c>
      <c r="C19" s="14" t="s">
        <v>57</v>
      </c>
      <c r="D19" s="15" t="n">
        <v>650000</v>
      </c>
      <c r="E19" s="15" t="n">
        <v>43000</v>
      </c>
      <c r="F19" s="15" t="n">
        <v>43000</v>
      </c>
      <c r="G19" s="16" t="s">
        <v>77</v>
      </c>
      <c r="H19" s="16" t="s">
        <v>78</v>
      </c>
      <c r="I19" s="17" t="n">
        <f aca="false">D19-F19</f>
        <v>607000</v>
      </c>
      <c r="J19" s="14" t="n">
        <f aca="false">$B$1-G19</f>
        <v>24</v>
      </c>
      <c r="K19" s="14" t="str">
        <f aca="false">IF(J19&lt;0,"Not Due",IF(J19&lt;=30,"Bucket 1",IF(J19&lt;=60,"Bucket 2",IF(J19&lt;=90,"Bucket 3","NPA"))))</f>
        <v>Bucket 1</v>
      </c>
      <c r="L19" s="18" t="n">
        <f aca="false">F19/E19*100</f>
        <v>100</v>
      </c>
    </row>
    <row r="20" customFormat="false" ht="15" hidden="false" customHeight="false" outlineLevel="0" collapsed="false">
      <c r="A20" s="14" t="s">
        <v>79</v>
      </c>
      <c r="B20" s="14" t="s">
        <v>80</v>
      </c>
      <c r="C20" s="14" t="s">
        <v>33</v>
      </c>
      <c r="D20" s="15" t="n">
        <v>375000</v>
      </c>
      <c r="E20" s="15" t="n">
        <v>32000</v>
      </c>
      <c r="F20" s="15" t="n">
        <v>32000</v>
      </c>
      <c r="G20" s="16" t="s">
        <v>81</v>
      </c>
      <c r="H20" s="16" t="s">
        <v>82</v>
      </c>
      <c r="I20" s="17" t="n">
        <f aca="false">D20-F20</f>
        <v>343000</v>
      </c>
      <c r="J20" s="14" t="n">
        <f aca="false">$B$1-G20</f>
        <v>32</v>
      </c>
      <c r="K20" s="14" t="str">
        <f aca="false">IF(J20&lt;0,"Not Due",IF(J20&lt;=30,"Bucket 1",IF(J20&lt;=60,"Bucket 2",IF(J20&lt;=90,"Bucket 3","NPA"))))</f>
        <v>Bucket 2</v>
      </c>
      <c r="L20" s="18" t="n">
        <f aca="false">F20/E20*100</f>
        <v>100</v>
      </c>
    </row>
    <row r="21" customFormat="false" ht="15" hidden="false" customHeight="false" outlineLevel="0" collapsed="false">
      <c r="A21" s="14" t="s">
        <v>83</v>
      </c>
      <c r="B21" s="14" t="s">
        <v>84</v>
      </c>
      <c r="C21" s="14" t="s">
        <v>62</v>
      </c>
      <c r="D21" s="15" t="n">
        <v>475000</v>
      </c>
      <c r="E21" s="15" t="n">
        <v>31000</v>
      </c>
      <c r="F21" s="15" t="n">
        <v>0</v>
      </c>
      <c r="G21" s="16" t="s">
        <v>85</v>
      </c>
      <c r="H21" s="14"/>
      <c r="I21" s="17" t="n">
        <f aca="false">D21-F21</f>
        <v>475000</v>
      </c>
      <c r="J21" s="14" t="n">
        <f aca="false">$B$1-G21</f>
        <v>5</v>
      </c>
      <c r="K21" s="14" t="str">
        <f aca="false">IF(J21&lt;0,"Not Due",IF(J21&lt;=30,"Bucket 1",IF(J21&lt;=60,"Bucket 2",IF(J21&lt;=90,"Bucket 3","NPA"))))</f>
        <v>Bucket 1</v>
      </c>
      <c r="L21" s="18" t="n">
        <f aca="false">F21/E21*100</f>
        <v>0</v>
      </c>
    </row>
    <row r="22" customFormat="false" ht="15" hidden="false" customHeight="false" outlineLevel="0" collapsed="false">
      <c r="A22" s="14" t="s">
        <v>86</v>
      </c>
      <c r="B22" s="14" t="s">
        <v>87</v>
      </c>
      <c r="C22" s="14" t="s">
        <v>62</v>
      </c>
      <c r="D22" s="15" t="n">
        <v>100000</v>
      </c>
      <c r="E22" s="15" t="n">
        <v>27000</v>
      </c>
      <c r="F22" s="15" t="n">
        <v>27000</v>
      </c>
      <c r="G22" s="16" t="s">
        <v>63</v>
      </c>
      <c r="H22" s="16" t="s">
        <v>85</v>
      </c>
      <c r="I22" s="17" t="n">
        <f aca="false">D22-F22</f>
        <v>73000</v>
      </c>
      <c r="J22" s="14" t="n">
        <f aca="false">$B$1-G22</f>
        <v>47</v>
      </c>
      <c r="K22" s="14" t="str">
        <f aca="false">IF(J22&lt;0,"Not Due",IF(J22&lt;=30,"Bucket 1",IF(J22&lt;=60,"Bucket 2",IF(J22&lt;=90,"Bucket 3","NPA"))))</f>
        <v>Bucket 2</v>
      </c>
      <c r="L22" s="18" t="n">
        <f aca="false">F22/E22*100</f>
        <v>100</v>
      </c>
    </row>
    <row r="23" customFormat="false" ht="15" hidden="false" customHeight="false" outlineLevel="0" collapsed="false">
      <c r="A23" s="14" t="s">
        <v>88</v>
      </c>
      <c r="B23" s="14" t="s">
        <v>89</v>
      </c>
      <c r="C23" s="14" t="s">
        <v>22</v>
      </c>
      <c r="D23" s="15" t="n">
        <v>475000</v>
      </c>
      <c r="E23" s="15" t="n">
        <v>15000</v>
      </c>
      <c r="F23" s="15" t="n">
        <v>15000</v>
      </c>
      <c r="G23" s="16" t="s">
        <v>53</v>
      </c>
      <c r="H23" s="16" t="s">
        <v>41</v>
      </c>
      <c r="I23" s="17" t="n">
        <f aca="false">D23-F23</f>
        <v>460000</v>
      </c>
      <c r="J23" s="14" t="n">
        <f aca="false">$B$1-G23</f>
        <v>56</v>
      </c>
      <c r="K23" s="14" t="str">
        <f aca="false">IF(J23&lt;0,"Not Due",IF(J23&lt;=30,"Bucket 1",IF(J23&lt;=60,"Bucket 2",IF(J23&lt;=90,"Bucket 3","NPA"))))</f>
        <v>Bucket 2</v>
      </c>
      <c r="L23" s="18" t="n">
        <f aca="false">F23/E23*100</f>
        <v>100</v>
      </c>
    </row>
    <row r="24" customFormat="false" ht="15" hidden="false" customHeight="false" outlineLevel="0" collapsed="false">
      <c r="A24" s="14" t="s">
        <v>90</v>
      </c>
      <c r="B24" s="14" t="s">
        <v>91</v>
      </c>
      <c r="C24" s="14" t="s">
        <v>26</v>
      </c>
      <c r="D24" s="15" t="n">
        <v>175000</v>
      </c>
      <c r="E24" s="15" t="n">
        <v>23000</v>
      </c>
      <c r="F24" s="15" t="n">
        <v>0</v>
      </c>
      <c r="G24" s="16" t="s">
        <v>92</v>
      </c>
      <c r="H24" s="14"/>
      <c r="I24" s="17" t="n">
        <f aca="false">D24-F24</f>
        <v>175000</v>
      </c>
      <c r="J24" s="14" t="n">
        <f aca="false">$B$1-G24</f>
        <v>-9</v>
      </c>
      <c r="K24" s="14" t="str">
        <f aca="false">IF(J24&lt;0,"Not Due",IF(J24&lt;=30,"Bucket 1",IF(J24&lt;=60,"Bucket 2",IF(J24&lt;=90,"Bucket 3","NPA"))))</f>
        <v>Not Due</v>
      </c>
      <c r="L24" s="18" t="n">
        <f aca="false">F24/E24*100</f>
        <v>0</v>
      </c>
    </row>
    <row r="25" customFormat="false" ht="15" hidden="false" customHeight="false" outlineLevel="0" collapsed="false">
      <c r="A25" s="14" t="s">
        <v>93</v>
      </c>
      <c r="B25" s="14" t="s">
        <v>94</v>
      </c>
      <c r="C25" s="14" t="s">
        <v>57</v>
      </c>
      <c r="D25" s="15" t="n">
        <v>150000</v>
      </c>
      <c r="E25" s="15" t="n">
        <v>31500</v>
      </c>
      <c r="F25" s="15" t="n">
        <v>31500</v>
      </c>
      <c r="G25" s="16" t="s">
        <v>95</v>
      </c>
      <c r="H25" s="16" t="s">
        <v>78</v>
      </c>
      <c r="I25" s="17" t="n">
        <f aca="false">D25-F25</f>
        <v>118500</v>
      </c>
      <c r="J25" s="14" t="n">
        <f aca="false">$B$1-G25</f>
        <v>16</v>
      </c>
      <c r="K25" s="14" t="str">
        <f aca="false">IF(J25&lt;0,"Not Due",IF(J25&lt;=30,"Bucket 1",IF(J25&lt;=60,"Bucket 2",IF(J25&lt;=90,"Bucket 3","NPA"))))</f>
        <v>Bucket 1</v>
      </c>
      <c r="L25" s="18" t="n">
        <f aca="false">F25/E25*100</f>
        <v>100</v>
      </c>
    </row>
    <row r="26" customFormat="false" ht="15" hidden="false" customHeight="false" outlineLevel="0" collapsed="false">
      <c r="A26" s="14" t="s">
        <v>96</v>
      </c>
      <c r="B26" s="14" t="s">
        <v>97</v>
      </c>
      <c r="C26" s="14" t="s">
        <v>57</v>
      </c>
      <c r="D26" s="15" t="n">
        <v>325000</v>
      </c>
      <c r="E26" s="15" t="n">
        <v>14500</v>
      </c>
      <c r="F26" s="15" t="n">
        <v>0</v>
      </c>
      <c r="G26" s="16" t="s">
        <v>98</v>
      </c>
      <c r="H26" s="14"/>
      <c r="I26" s="17" t="n">
        <f aca="false">D26-F26</f>
        <v>325000</v>
      </c>
      <c r="J26" s="14" t="n">
        <f aca="false">$B$1-G26</f>
        <v>80</v>
      </c>
      <c r="K26" s="14" t="str">
        <f aca="false">IF(J26&lt;0,"Not Due",IF(J26&lt;=30,"Bucket 1",IF(J26&lt;=60,"Bucket 2",IF(J26&lt;=90,"Bucket 3","NPA"))))</f>
        <v>Bucket 3</v>
      </c>
      <c r="L26" s="18" t="n">
        <f aca="false">F26/E26*100</f>
        <v>0</v>
      </c>
    </row>
    <row r="27" customFormat="false" ht="15" hidden="false" customHeight="false" outlineLevel="0" collapsed="false">
      <c r="A27" s="14" t="s">
        <v>99</v>
      </c>
      <c r="B27" s="14" t="s">
        <v>100</v>
      </c>
      <c r="C27" s="14" t="s">
        <v>33</v>
      </c>
      <c r="D27" s="15" t="n">
        <v>500000</v>
      </c>
      <c r="E27" s="15" t="n">
        <v>13500</v>
      </c>
      <c r="F27" s="15" t="n">
        <v>8601</v>
      </c>
      <c r="G27" s="16" t="s">
        <v>101</v>
      </c>
      <c r="H27" s="16" t="s">
        <v>102</v>
      </c>
      <c r="I27" s="17" t="n">
        <f aca="false">D27-F27</f>
        <v>491399</v>
      </c>
      <c r="J27" s="14" t="n">
        <f aca="false">$B$1-G27</f>
        <v>68</v>
      </c>
      <c r="K27" s="14" t="str">
        <f aca="false">IF(J27&lt;0,"Not Due",IF(J27&lt;=30,"Bucket 1",IF(J27&lt;=60,"Bucket 2",IF(J27&lt;=90,"Bucket 3","NPA"))))</f>
        <v>Bucket 3</v>
      </c>
      <c r="L27" s="18" t="n">
        <f aca="false">F27/E27*100</f>
        <v>63.7111111111111</v>
      </c>
    </row>
    <row r="28" customFormat="false" ht="15" hidden="false" customHeight="false" outlineLevel="0" collapsed="false">
      <c r="A28" s="14" t="s">
        <v>103</v>
      </c>
      <c r="B28" s="14" t="s">
        <v>104</v>
      </c>
      <c r="C28" s="14" t="s">
        <v>22</v>
      </c>
      <c r="D28" s="15" t="n">
        <v>675000</v>
      </c>
      <c r="E28" s="15" t="n">
        <v>14500</v>
      </c>
      <c r="F28" s="15" t="n">
        <v>0</v>
      </c>
      <c r="G28" s="16" t="s">
        <v>105</v>
      </c>
      <c r="H28" s="14"/>
      <c r="I28" s="17" t="n">
        <f aca="false">D28-F28</f>
        <v>675000</v>
      </c>
      <c r="J28" s="14" t="n">
        <f aca="false">$B$1-G28</f>
        <v>97</v>
      </c>
      <c r="K28" s="14" t="str">
        <f aca="false">IF(J28&lt;0,"Not Due",IF(J28&lt;=30,"Bucket 1",IF(J28&lt;=60,"Bucket 2",IF(J28&lt;=90,"Bucket 3","NPA"))))</f>
        <v>NPA</v>
      </c>
      <c r="L28" s="18" t="n">
        <f aca="false">F28/E28*100</f>
        <v>0</v>
      </c>
    </row>
    <row r="29" customFormat="false" ht="15" hidden="false" customHeight="false" outlineLevel="0" collapsed="false">
      <c r="A29" s="14" t="s">
        <v>106</v>
      </c>
      <c r="B29" s="14" t="s">
        <v>107</v>
      </c>
      <c r="C29" s="14" t="s">
        <v>26</v>
      </c>
      <c r="D29" s="15" t="n">
        <v>875000</v>
      </c>
      <c r="E29" s="15" t="n">
        <v>42000</v>
      </c>
      <c r="F29" s="15" t="n">
        <v>0</v>
      </c>
      <c r="G29" s="16" t="s">
        <v>108</v>
      </c>
      <c r="H29" s="14"/>
      <c r="I29" s="17" t="n">
        <f aca="false">D29-F29</f>
        <v>875000</v>
      </c>
      <c r="J29" s="14" t="n">
        <f aca="false">$B$1-G29</f>
        <v>100</v>
      </c>
      <c r="K29" s="14" t="str">
        <f aca="false">IF(J29&lt;0,"Not Due",IF(J29&lt;=30,"Bucket 1",IF(J29&lt;=60,"Bucket 2",IF(J29&lt;=90,"Bucket 3","NPA"))))</f>
        <v>NPA</v>
      </c>
      <c r="L29" s="18" t="n">
        <f aca="false">F29/E29*100</f>
        <v>0</v>
      </c>
    </row>
    <row r="30" customFormat="false" ht="15" hidden="false" customHeight="false" outlineLevel="0" collapsed="false">
      <c r="A30" s="14" t="s">
        <v>109</v>
      </c>
      <c r="B30" s="14" t="s">
        <v>110</v>
      </c>
      <c r="C30" s="14" t="s">
        <v>57</v>
      </c>
      <c r="D30" s="15" t="n">
        <v>300000</v>
      </c>
      <c r="E30" s="15" t="n">
        <v>39000</v>
      </c>
      <c r="F30" s="15" t="n">
        <v>39000</v>
      </c>
      <c r="G30" s="16" t="s">
        <v>111</v>
      </c>
      <c r="H30" s="16" t="s">
        <v>112</v>
      </c>
      <c r="I30" s="17" t="n">
        <f aca="false">D30-F30</f>
        <v>261000</v>
      </c>
      <c r="J30" s="14" t="n">
        <f aca="false">$B$1-G30</f>
        <v>60</v>
      </c>
      <c r="K30" s="14" t="str">
        <f aca="false">IF(J30&lt;0,"Not Due",IF(J30&lt;=30,"Bucket 1",IF(J30&lt;=60,"Bucket 2",IF(J30&lt;=90,"Bucket 3","NPA"))))</f>
        <v>Bucket 2</v>
      </c>
      <c r="L30" s="18" t="n">
        <f aca="false">F30/E30*100</f>
        <v>100</v>
      </c>
    </row>
    <row r="31" customFormat="false" ht="15" hidden="false" customHeight="false" outlineLevel="0" collapsed="false">
      <c r="A31" s="14" t="s">
        <v>113</v>
      </c>
      <c r="B31" s="14" t="s">
        <v>114</v>
      </c>
      <c r="C31" s="14" t="s">
        <v>26</v>
      </c>
      <c r="D31" s="15" t="n">
        <v>300000</v>
      </c>
      <c r="E31" s="15" t="n">
        <v>6500</v>
      </c>
      <c r="F31" s="15" t="n">
        <v>3811</v>
      </c>
      <c r="G31" s="16" t="s">
        <v>115</v>
      </c>
      <c r="H31" s="16" t="s">
        <v>7</v>
      </c>
      <c r="I31" s="17" t="n">
        <f aca="false">D31-F31</f>
        <v>296189</v>
      </c>
      <c r="J31" s="14" t="n">
        <f aca="false">$B$1-G31</f>
        <v>18</v>
      </c>
      <c r="K31" s="14" t="str">
        <f aca="false">IF(J31&lt;0,"Not Due",IF(J31&lt;=30,"Bucket 1",IF(J31&lt;=60,"Bucket 2",IF(J31&lt;=90,"Bucket 3","NPA"))))</f>
        <v>Bucket 1</v>
      </c>
      <c r="L31" s="18" t="n">
        <f aca="false">F31/E31*100</f>
        <v>58.6307692307692</v>
      </c>
    </row>
    <row r="32" customFormat="false" ht="15" hidden="false" customHeight="false" outlineLevel="0" collapsed="false">
      <c r="A32" s="14" t="s">
        <v>116</v>
      </c>
      <c r="B32" s="14" t="s">
        <v>117</v>
      </c>
      <c r="C32" s="14" t="s">
        <v>62</v>
      </c>
      <c r="D32" s="15" t="n">
        <v>750000</v>
      </c>
      <c r="E32" s="15" t="n">
        <v>21000</v>
      </c>
      <c r="F32" s="15" t="n">
        <v>16279</v>
      </c>
      <c r="G32" s="16" t="s">
        <v>118</v>
      </c>
      <c r="H32" s="16" t="s">
        <v>47</v>
      </c>
      <c r="I32" s="17" t="n">
        <f aca="false">D32-F32</f>
        <v>733721</v>
      </c>
      <c r="J32" s="14" t="n">
        <f aca="false">$B$1-G32</f>
        <v>72</v>
      </c>
      <c r="K32" s="14" t="str">
        <f aca="false">IF(J32&lt;0,"Not Due",IF(J32&lt;=30,"Bucket 1",IF(J32&lt;=60,"Bucket 2",IF(J32&lt;=90,"Bucket 3","NPA"))))</f>
        <v>Bucket 3</v>
      </c>
      <c r="L32" s="18" t="n">
        <f aca="false">F32/E32*100</f>
        <v>77.5190476190476</v>
      </c>
    </row>
    <row r="33" customFormat="false" ht="15" hidden="false" customHeight="false" outlineLevel="0" collapsed="false">
      <c r="A33" s="14" t="s">
        <v>119</v>
      </c>
      <c r="B33" s="14" t="s">
        <v>120</v>
      </c>
      <c r="C33" s="14" t="s">
        <v>22</v>
      </c>
      <c r="D33" s="15" t="n">
        <v>325000</v>
      </c>
      <c r="E33" s="15" t="n">
        <v>11000</v>
      </c>
      <c r="F33" s="15" t="n">
        <v>11000</v>
      </c>
      <c r="G33" s="16" t="s">
        <v>121</v>
      </c>
      <c r="H33" s="16" t="s">
        <v>122</v>
      </c>
      <c r="I33" s="17" t="n">
        <f aca="false">D33-F33</f>
        <v>314000</v>
      </c>
      <c r="J33" s="14" t="n">
        <f aca="false">$B$1-G33</f>
        <v>35</v>
      </c>
      <c r="K33" s="14" t="str">
        <f aca="false">IF(J33&lt;0,"Not Due",IF(J33&lt;=30,"Bucket 1",IF(J33&lt;=60,"Bucket 2",IF(J33&lt;=90,"Bucket 3","NPA"))))</f>
        <v>Bucket 2</v>
      </c>
      <c r="L33" s="18" t="n">
        <f aca="false">F33/E33*100</f>
        <v>100</v>
      </c>
    </row>
    <row r="34" customFormat="false" ht="15" hidden="false" customHeight="false" outlineLevel="0" collapsed="false">
      <c r="A34" s="14" t="s">
        <v>123</v>
      </c>
      <c r="B34" s="14" t="s">
        <v>124</v>
      </c>
      <c r="C34" s="14" t="s">
        <v>26</v>
      </c>
      <c r="D34" s="15" t="n">
        <v>325000</v>
      </c>
      <c r="E34" s="15" t="n">
        <v>9500</v>
      </c>
      <c r="F34" s="15" t="n">
        <v>3503</v>
      </c>
      <c r="G34" s="16" t="s">
        <v>125</v>
      </c>
      <c r="H34" s="16" t="s">
        <v>70</v>
      </c>
      <c r="I34" s="17" t="n">
        <f aca="false">D34-F34</f>
        <v>321497</v>
      </c>
      <c r="J34" s="14" t="n">
        <f aca="false">$B$1-G34</f>
        <v>96</v>
      </c>
      <c r="K34" s="14" t="str">
        <f aca="false">IF(J34&lt;0,"Not Due",IF(J34&lt;=30,"Bucket 1",IF(J34&lt;=60,"Bucket 2",IF(J34&lt;=90,"Bucket 3","NPA"))))</f>
        <v>NPA</v>
      </c>
      <c r="L34" s="18" t="n">
        <f aca="false">F34/E34*100</f>
        <v>36.8736842105263</v>
      </c>
    </row>
    <row r="35" customFormat="false" ht="15" hidden="false" customHeight="false" outlineLevel="0" collapsed="false">
      <c r="A35" s="14" t="s">
        <v>126</v>
      </c>
      <c r="B35" s="14" t="s">
        <v>127</v>
      </c>
      <c r="C35" s="14" t="s">
        <v>62</v>
      </c>
      <c r="D35" s="15" t="n">
        <v>600000</v>
      </c>
      <c r="E35" s="15" t="n">
        <v>30000</v>
      </c>
      <c r="F35" s="15" t="n">
        <v>0</v>
      </c>
      <c r="G35" s="16" t="s">
        <v>128</v>
      </c>
      <c r="H35" s="14"/>
      <c r="I35" s="17" t="n">
        <f aca="false">D35-F35</f>
        <v>600000</v>
      </c>
      <c r="J35" s="14" t="n">
        <f aca="false">$B$1-G35</f>
        <v>48</v>
      </c>
      <c r="K35" s="14" t="str">
        <f aca="false">IF(J35&lt;0,"Not Due",IF(J35&lt;=30,"Bucket 1",IF(J35&lt;=60,"Bucket 2",IF(J35&lt;=90,"Bucket 3","NPA"))))</f>
        <v>Bucket 2</v>
      </c>
      <c r="L35" s="18" t="n">
        <f aca="false">F35/E35*100</f>
        <v>0</v>
      </c>
    </row>
    <row r="36" customFormat="false" ht="15" hidden="false" customHeight="false" outlineLevel="0" collapsed="false">
      <c r="A36" s="14" t="s">
        <v>129</v>
      </c>
      <c r="B36" s="14" t="s">
        <v>130</v>
      </c>
      <c r="C36" s="14" t="s">
        <v>62</v>
      </c>
      <c r="D36" s="15" t="n">
        <v>350000</v>
      </c>
      <c r="E36" s="15" t="n">
        <v>16500</v>
      </c>
      <c r="F36" s="15" t="n">
        <v>5296</v>
      </c>
      <c r="G36" s="16" t="s">
        <v>131</v>
      </c>
      <c r="H36" s="16" t="s">
        <v>7</v>
      </c>
      <c r="I36" s="17" t="n">
        <f aca="false">D36-F36</f>
        <v>344704</v>
      </c>
      <c r="J36" s="14" t="n">
        <f aca="false">$B$1-G36</f>
        <v>8</v>
      </c>
      <c r="K36" s="14" t="str">
        <f aca="false">IF(J36&lt;0,"Not Due",IF(J36&lt;=30,"Bucket 1",IF(J36&lt;=60,"Bucket 2",IF(J36&lt;=90,"Bucket 3","NPA"))))</f>
        <v>Bucket 1</v>
      </c>
      <c r="L36" s="18" t="n">
        <f aca="false">F36/E36*100</f>
        <v>32.0969696969697</v>
      </c>
    </row>
    <row r="37" customFormat="false" ht="15" hidden="false" customHeight="false" outlineLevel="0" collapsed="false">
      <c r="A37" s="14" t="s">
        <v>132</v>
      </c>
      <c r="B37" s="14" t="s">
        <v>133</v>
      </c>
      <c r="C37" s="14" t="s">
        <v>33</v>
      </c>
      <c r="D37" s="15" t="n">
        <v>900000</v>
      </c>
      <c r="E37" s="15" t="n">
        <v>8500</v>
      </c>
      <c r="F37" s="15" t="n">
        <v>0</v>
      </c>
      <c r="G37" s="16" t="s">
        <v>134</v>
      </c>
      <c r="H37" s="14"/>
      <c r="I37" s="17" t="n">
        <f aca="false">D37-F37</f>
        <v>900000</v>
      </c>
      <c r="J37" s="14" t="n">
        <f aca="false">$B$1-G37</f>
        <v>86</v>
      </c>
      <c r="K37" s="14" t="str">
        <f aca="false">IF(J37&lt;0,"Not Due",IF(J37&lt;=30,"Bucket 1",IF(J37&lt;=60,"Bucket 2",IF(J37&lt;=90,"Bucket 3","NPA"))))</f>
        <v>Bucket 3</v>
      </c>
      <c r="L37" s="18" t="n">
        <f aca="false">F37/E37*100</f>
        <v>0</v>
      </c>
    </row>
    <row r="38" customFormat="false" ht="15" hidden="false" customHeight="false" outlineLevel="0" collapsed="false">
      <c r="A38" s="14" t="s">
        <v>135</v>
      </c>
      <c r="B38" s="14" t="s">
        <v>136</v>
      </c>
      <c r="C38" s="14" t="s">
        <v>26</v>
      </c>
      <c r="D38" s="15" t="n">
        <v>825000</v>
      </c>
      <c r="E38" s="15" t="n">
        <v>9000</v>
      </c>
      <c r="F38" s="15" t="n">
        <v>0</v>
      </c>
      <c r="G38" s="16" t="s">
        <v>121</v>
      </c>
      <c r="H38" s="14"/>
      <c r="I38" s="17" t="n">
        <f aca="false">D38-F38</f>
        <v>825000</v>
      </c>
      <c r="J38" s="14" t="n">
        <f aca="false">$B$1-G38</f>
        <v>35</v>
      </c>
      <c r="K38" s="14" t="str">
        <f aca="false">IF(J38&lt;0,"Not Due",IF(J38&lt;=30,"Bucket 1",IF(J38&lt;=60,"Bucket 2",IF(J38&lt;=90,"Bucket 3","NPA"))))</f>
        <v>Bucket 2</v>
      </c>
      <c r="L38" s="18" t="n">
        <f aca="false">F38/E38*100</f>
        <v>0</v>
      </c>
    </row>
    <row r="39" customFormat="false" ht="15" hidden="false" customHeight="false" outlineLevel="0" collapsed="false">
      <c r="A39" s="14" t="s">
        <v>137</v>
      </c>
      <c r="B39" s="14" t="s">
        <v>138</v>
      </c>
      <c r="C39" s="14" t="s">
        <v>22</v>
      </c>
      <c r="D39" s="15" t="n">
        <v>450000</v>
      </c>
      <c r="E39" s="15" t="n">
        <v>21000</v>
      </c>
      <c r="F39" s="15" t="n">
        <v>0</v>
      </c>
      <c r="G39" s="16" t="s">
        <v>139</v>
      </c>
      <c r="H39" s="14"/>
      <c r="I39" s="17" t="n">
        <f aca="false">D39-F39</f>
        <v>450000</v>
      </c>
      <c r="J39" s="14" t="n">
        <f aca="false">$B$1-G39</f>
        <v>74</v>
      </c>
      <c r="K39" s="14" t="str">
        <f aca="false">IF(J39&lt;0,"Not Due",IF(J39&lt;=30,"Bucket 1",IF(J39&lt;=60,"Bucket 2",IF(J39&lt;=90,"Bucket 3","NPA"))))</f>
        <v>Bucket 3</v>
      </c>
      <c r="L39" s="18" t="n">
        <f aca="false">F39/E39*100</f>
        <v>0</v>
      </c>
    </row>
    <row r="40" customFormat="false" ht="15" hidden="false" customHeight="false" outlineLevel="0" collapsed="false">
      <c r="A40" s="14" t="s">
        <v>140</v>
      </c>
      <c r="B40" s="14" t="s">
        <v>141</v>
      </c>
      <c r="C40" s="14" t="s">
        <v>33</v>
      </c>
      <c r="D40" s="15" t="n">
        <v>475000</v>
      </c>
      <c r="E40" s="15" t="n">
        <v>29500</v>
      </c>
      <c r="F40" s="15" t="n">
        <v>29500</v>
      </c>
      <c r="G40" s="16" t="s">
        <v>41</v>
      </c>
      <c r="H40" s="16" t="s">
        <v>7</v>
      </c>
      <c r="I40" s="17" t="n">
        <f aca="false">D40-F40</f>
        <v>445500</v>
      </c>
      <c r="J40" s="14" t="n">
        <f aca="false">$B$1-G40</f>
        <v>4</v>
      </c>
      <c r="K40" s="14" t="str">
        <f aca="false">IF(J40&lt;0,"Not Due",IF(J40&lt;=30,"Bucket 1",IF(J40&lt;=60,"Bucket 2",IF(J40&lt;=90,"Bucket 3","NPA"))))</f>
        <v>Bucket 1</v>
      </c>
      <c r="L40" s="18" t="n">
        <f aca="false">F40/E40*100</f>
        <v>100</v>
      </c>
    </row>
    <row r="41" customFormat="false" ht="15" hidden="false" customHeight="false" outlineLevel="0" collapsed="false">
      <c r="A41" s="14" t="s">
        <v>142</v>
      </c>
      <c r="B41" s="14" t="s">
        <v>143</v>
      </c>
      <c r="C41" s="14" t="s">
        <v>57</v>
      </c>
      <c r="D41" s="15" t="n">
        <v>900000</v>
      </c>
      <c r="E41" s="15" t="n">
        <v>40000</v>
      </c>
      <c r="F41" s="15" t="n">
        <v>0</v>
      </c>
      <c r="G41" s="16" t="s">
        <v>63</v>
      </c>
      <c r="H41" s="14"/>
      <c r="I41" s="17" t="n">
        <f aca="false">D41-F41</f>
        <v>900000</v>
      </c>
      <c r="J41" s="14" t="n">
        <f aca="false">$B$1-G41</f>
        <v>47</v>
      </c>
      <c r="K41" s="14" t="str">
        <f aca="false">IF(J41&lt;0,"Not Due",IF(J41&lt;=30,"Bucket 1",IF(J41&lt;=60,"Bucket 2",IF(J41&lt;=90,"Bucket 3","NPA"))))</f>
        <v>Bucket 2</v>
      </c>
      <c r="L41" s="18" t="n">
        <f aca="false">F41/E41*100</f>
        <v>0</v>
      </c>
    </row>
    <row r="42" customFormat="false" ht="15" hidden="false" customHeight="false" outlineLevel="0" collapsed="false">
      <c r="A42" s="14" t="s">
        <v>144</v>
      </c>
      <c r="B42" s="14" t="s">
        <v>145</v>
      </c>
      <c r="C42" s="14" t="s">
        <v>33</v>
      </c>
      <c r="D42" s="15" t="n">
        <v>950000</v>
      </c>
      <c r="E42" s="15" t="n">
        <v>43000</v>
      </c>
      <c r="F42" s="15" t="n">
        <v>0</v>
      </c>
      <c r="G42" s="16" t="s">
        <v>146</v>
      </c>
      <c r="H42" s="14"/>
      <c r="I42" s="17" t="n">
        <f aca="false">D42-F42</f>
        <v>950000</v>
      </c>
      <c r="J42" s="14" t="n">
        <f aca="false">$B$1-G42</f>
        <v>-8</v>
      </c>
      <c r="K42" s="14" t="str">
        <f aca="false">IF(J42&lt;0,"Not Due",IF(J42&lt;=30,"Bucket 1",IF(J42&lt;=60,"Bucket 2",IF(J42&lt;=90,"Bucket 3","NPA"))))</f>
        <v>Not Due</v>
      </c>
      <c r="L42" s="18" t="n">
        <f aca="false">F42/E42*100</f>
        <v>0</v>
      </c>
    </row>
    <row r="43" customFormat="false" ht="15" hidden="false" customHeight="false" outlineLevel="0" collapsed="false">
      <c r="A43" s="14" t="s">
        <v>147</v>
      </c>
      <c r="B43" s="14" t="s">
        <v>148</v>
      </c>
      <c r="C43" s="14" t="s">
        <v>57</v>
      </c>
      <c r="D43" s="15" t="n">
        <v>925000</v>
      </c>
      <c r="E43" s="15" t="n">
        <v>24500</v>
      </c>
      <c r="F43" s="15" t="n">
        <v>24500</v>
      </c>
      <c r="G43" s="16" t="s">
        <v>149</v>
      </c>
      <c r="H43" s="16" t="s">
        <v>150</v>
      </c>
      <c r="I43" s="17" t="n">
        <f aca="false">D43-F43</f>
        <v>900500</v>
      </c>
      <c r="J43" s="14" t="n">
        <f aca="false">$B$1-G43</f>
        <v>22</v>
      </c>
      <c r="K43" s="14" t="str">
        <f aca="false">IF(J43&lt;0,"Not Due",IF(J43&lt;=30,"Bucket 1",IF(J43&lt;=60,"Bucket 2",IF(J43&lt;=90,"Bucket 3","NPA"))))</f>
        <v>Bucket 1</v>
      </c>
      <c r="L43" s="18" t="n">
        <f aca="false">F43/E43*100</f>
        <v>100</v>
      </c>
    </row>
    <row r="44" customFormat="false" ht="15" hidden="false" customHeight="false" outlineLevel="0" collapsed="false">
      <c r="A44" s="14" t="s">
        <v>151</v>
      </c>
      <c r="B44" s="14" t="s">
        <v>152</v>
      </c>
      <c r="C44" s="14" t="s">
        <v>33</v>
      </c>
      <c r="D44" s="15" t="n">
        <v>600000</v>
      </c>
      <c r="E44" s="15" t="n">
        <v>17500</v>
      </c>
      <c r="F44" s="15" t="n">
        <v>17500</v>
      </c>
      <c r="G44" s="16" t="s">
        <v>82</v>
      </c>
      <c r="H44" s="16" t="s">
        <v>41</v>
      </c>
      <c r="I44" s="17" t="n">
        <f aca="false">D44-F44</f>
        <v>582500</v>
      </c>
      <c r="J44" s="14" t="n">
        <f aca="false">$B$1-G44</f>
        <v>30</v>
      </c>
      <c r="K44" s="14" t="str">
        <f aca="false">IF(J44&lt;0,"Not Due",IF(J44&lt;=30,"Bucket 1",IF(J44&lt;=60,"Bucket 2",IF(J44&lt;=90,"Bucket 3","NPA"))))</f>
        <v>Bucket 1</v>
      </c>
      <c r="L44" s="18" t="n">
        <f aca="false">F44/E44*100</f>
        <v>100</v>
      </c>
    </row>
    <row r="45" customFormat="false" ht="15" hidden="false" customHeight="false" outlineLevel="0" collapsed="false">
      <c r="A45" s="14" t="s">
        <v>153</v>
      </c>
      <c r="B45" s="14" t="s">
        <v>154</v>
      </c>
      <c r="C45" s="14" t="s">
        <v>33</v>
      </c>
      <c r="D45" s="15" t="n">
        <v>200000</v>
      </c>
      <c r="E45" s="15" t="n">
        <v>46500</v>
      </c>
      <c r="F45" s="15" t="n">
        <v>0</v>
      </c>
      <c r="G45" s="16" t="s">
        <v>50</v>
      </c>
      <c r="H45" s="14"/>
      <c r="I45" s="17" t="n">
        <f aca="false">D45-F45</f>
        <v>200000</v>
      </c>
      <c r="J45" s="14" t="n">
        <f aca="false">$B$1-G45</f>
        <v>-6</v>
      </c>
      <c r="K45" s="14" t="str">
        <f aca="false">IF(J45&lt;0,"Not Due",IF(J45&lt;=30,"Bucket 1",IF(J45&lt;=60,"Bucket 2",IF(J45&lt;=90,"Bucket 3","NPA"))))</f>
        <v>Not Due</v>
      </c>
      <c r="L45" s="18" t="n">
        <f aca="false">F45/E45*100</f>
        <v>0</v>
      </c>
    </row>
    <row r="46" customFormat="false" ht="15" hidden="false" customHeight="false" outlineLevel="0" collapsed="false">
      <c r="A46" s="14" t="s">
        <v>155</v>
      </c>
      <c r="B46" s="14" t="s">
        <v>156</v>
      </c>
      <c r="C46" s="14" t="s">
        <v>26</v>
      </c>
      <c r="D46" s="15" t="n">
        <v>900000</v>
      </c>
      <c r="E46" s="15" t="n">
        <v>44500</v>
      </c>
      <c r="F46" s="15" t="n">
        <v>0</v>
      </c>
      <c r="G46" s="16" t="s">
        <v>157</v>
      </c>
      <c r="H46" s="14"/>
      <c r="I46" s="17" t="n">
        <f aca="false">D46-F46</f>
        <v>900000</v>
      </c>
      <c r="J46" s="14" t="n">
        <f aca="false">$B$1-G46</f>
        <v>-13</v>
      </c>
      <c r="K46" s="14" t="str">
        <f aca="false">IF(J46&lt;0,"Not Due",IF(J46&lt;=30,"Bucket 1",IF(J46&lt;=60,"Bucket 2",IF(J46&lt;=90,"Bucket 3","NPA"))))</f>
        <v>Not Due</v>
      </c>
      <c r="L46" s="18" t="n">
        <f aca="false">F46/E46*100</f>
        <v>0</v>
      </c>
    </row>
    <row r="47" customFormat="false" ht="15" hidden="false" customHeight="false" outlineLevel="0" collapsed="false">
      <c r="A47" s="14" t="s">
        <v>158</v>
      </c>
      <c r="B47" s="14" t="s">
        <v>159</v>
      </c>
      <c r="C47" s="14" t="s">
        <v>26</v>
      </c>
      <c r="D47" s="15" t="n">
        <v>850000</v>
      </c>
      <c r="E47" s="15" t="n">
        <v>38000</v>
      </c>
      <c r="F47" s="15" t="n">
        <v>16754</v>
      </c>
      <c r="G47" s="16" t="s">
        <v>160</v>
      </c>
      <c r="H47" s="16" t="s">
        <v>161</v>
      </c>
      <c r="I47" s="17" t="n">
        <f aca="false">D47-F47</f>
        <v>833246</v>
      </c>
      <c r="J47" s="14" t="n">
        <f aca="false">$B$1-G47</f>
        <v>50</v>
      </c>
      <c r="K47" s="14" t="str">
        <f aca="false">IF(J47&lt;0,"Not Due",IF(J47&lt;=30,"Bucket 1",IF(J47&lt;=60,"Bucket 2",IF(J47&lt;=90,"Bucket 3","NPA"))))</f>
        <v>Bucket 2</v>
      </c>
      <c r="L47" s="18" t="n">
        <f aca="false">F47/E47*100</f>
        <v>44.0894736842105</v>
      </c>
    </row>
    <row r="48" customFormat="false" ht="15" hidden="false" customHeight="false" outlineLevel="0" collapsed="false">
      <c r="A48" s="14" t="s">
        <v>162</v>
      </c>
      <c r="B48" s="14" t="s">
        <v>163</v>
      </c>
      <c r="C48" s="14" t="s">
        <v>33</v>
      </c>
      <c r="D48" s="15" t="n">
        <v>175000</v>
      </c>
      <c r="E48" s="15" t="n">
        <v>47000</v>
      </c>
      <c r="F48" s="15" t="n">
        <v>47000</v>
      </c>
      <c r="G48" s="16" t="s">
        <v>164</v>
      </c>
      <c r="H48" s="16" t="s">
        <v>165</v>
      </c>
      <c r="I48" s="17" t="n">
        <f aca="false">D48-F48</f>
        <v>128000</v>
      </c>
      <c r="J48" s="14" t="n">
        <f aca="false">$B$1-G48</f>
        <v>40</v>
      </c>
      <c r="K48" s="14" t="str">
        <f aca="false">IF(J48&lt;0,"Not Due",IF(J48&lt;=30,"Bucket 1",IF(J48&lt;=60,"Bucket 2",IF(J48&lt;=90,"Bucket 3","NPA"))))</f>
        <v>Bucket 2</v>
      </c>
      <c r="L48" s="18" t="n">
        <f aca="false">F48/E48*100</f>
        <v>100</v>
      </c>
    </row>
    <row r="49" customFormat="false" ht="15" hidden="false" customHeight="false" outlineLevel="0" collapsed="false">
      <c r="A49" s="14" t="s">
        <v>166</v>
      </c>
      <c r="B49" s="14" t="s">
        <v>167</v>
      </c>
      <c r="C49" s="14" t="s">
        <v>62</v>
      </c>
      <c r="D49" s="15" t="n">
        <v>725000</v>
      </c>
      <c r="E49" s="15" t="n">
        <v>32000</v>
      </c>
      <c r="F49" s="15" t="n">
        <v>0</v>
      </c>
      <c r="G49" s="16" t="s">
        <v>168</v>
      </c>
      <c r="H49" s="14"/>
      <c r="I49" s="17" t="n">
        <f aca="false">D49-F49</f>
        <v>725000</v>
      </c>
      <c r="J49" s="14" t="n">
        <f aca="false">$B$1-G49</f>
        <v>43</v>
      </c>
      <c r="K49" s="14" t="str">
        <f aca="false">IF(J49&lt;0,"Not Due",IF(J49&lt;=30,"Bucket 1",IF(J49&lt;=60,"Bucket 2",IF(J49&lt;=90,"Bucket 3","NPA"))))</f>
        <v>Bucket 2</v>
      </c>
      <c r="L49" s="18" t="n">
        <f aca="false">F49/E49*100</f>
        <v>0</v>
      </c>
    </row>
    <row r="50" customFormat="false" ht="15" hidden="false" customHeight="false" outlineLevel="0" collapsed="false">
      <c r="A50" s="14" t="s">
        <v>169</v>
      </c>
      <c r="B50" s="14" t="s">
        <v>170</v>
      </c>
      <c r="C50" s="14" t="s">
        <v>26</v>
      </c>
      <c r="D50" s="15" t="n">
        <v>700000</v>
      </c>
      <c r="E50" s="15" t="n">
        <v>25500</v>
      </c>
      <c r="F50" s="15" t="n">
        <v>25500</v>
      </c>
      <c r="G50" s="16" t="s">
        <v>63</v>
      </c>
      <c r="H50" s="16" t="s">
        <v>171</v>
      </c>
      <c r="I50" s="17" t="n">
        <f aca="false">D50-F50</f>
        <v>674500</v>
      </c>
      <c r="J50" s="14" t="n">
        <f aca="false">$B$1-G50</f>
        <v>47</v>
      </c>
      <c r="K50" s="14" t="str">
        <f aca="false">IF(J50&lt;0,"Not Due",IF(J50&lt;=30,"Bucket 1",IF(J50&lt;=60,"Bucket 2",IF(J50&lt;=90,"Bucket 3","NPA"))))</f>
        <v>Bucket 2</v>
      </c>
      <c r="L50" s="18" t="n">
        <f aca="false">F50/E50*100</f>
        <v>100</v>
      </c>
    </row>
    <row r="51" customFormat="false" ht="15" hidden="false" customHeight="false" outlineLevel="0" collapsed="false">
      <c r="A51" s="14" t="s">
        <v>172</v>
      </c>
      <c r="B51" s="14" t="s">
        <v>173</v>
      </c>
      <c r="C51" s="14" t="s">
        <v>33</v>
      </c>
      <c r="D51" s="15" t="n">
        <v>150000</v>
      </c>
      <c r="E51" s="15" t="n">
        <v>35500</v>
      </c>
      <c r="F51" s="15" t="n">
        <v>35500</v>
      </c>
      <c r="G51" s="16" t="s">
        <v>174</v>
      </c>
      <c r="H51" s="16" t="s">
        <v>175</v>
      </c>
      <c r="I51" s="17" t="n">
        <f aca="false">D51-F51</f>
        <v>114500</v>
      </c>
      <c r="J51" s="14" t="n">
        <f aca="false">$B$1-G51</f>
        <v>7</v>
      </c>
      <c r="K51" s="14" t="str">
        <f aca="false">IF(J51&lt;0,"Not Due",IF(J51&lt;=30,"Bucket 1",IF(J51&lt;=60,"Bucket 2",IF(J51&lt;=90,"Bucket 3","NPA"))))</f>
        <v>Bucket 1</v>
      </c>
      <c r="L51" s="18" t="n">
        <f aca="false">F51/E51*100</f>
        <v>100</v>
      </c>
    </row>
    <row r="52" customFormat="false" ht="15" hidden="false" customHeight="false" outlineLevel="0" collapsed="false">
      <c r="A52" s="14" t="s">
        <v>176</v>
      </c>
      <c r="B52" s="14" t="s">
        <v>177</v>
      </c>
      <c r="C52" s="14" t="s">
        <v>26</v>
      </c>
      <c r="D52" s="15" t="n">
        <v>500000</v>
      </c>
      <c r="E52" s="15" t="n">
        <v>20500</v>
      </c>
      <c r="F52" s="15" t="n">
        <v>0</v>
      </c>
      <c r="G52" s="16" t="s">
        <v>64</v>
      </c>
      <c r="H52" s="14"/>
      <c r="I52" s="17" t="n">
        <f aca="false">D52-F52</f>
        <v>500000</v>
      </c>
      <c r="J52" s="14" t="n">
        <f aca="false">$B$1-G52</f>
        <v>46</v>
      </c>
      <c r="K52" s="14" t="str">
        <f aca="false">IF(J52&lt;0,"Not Due",IF(J52&lt;=30,"Bucket 1",IF(J52&lt;=60,"Bucket 2",IF(J52&lt;=90,"Bucket 3","NPA"))))</f>
        <v>Bucket 2</v>
      </c>
      <c r="L52" s="18" t="n">
        <f aca="false">F52/E52*100</f>
        <v>0</v>
      </c>
    </row>
    <row r="53" customFormat="false" ht="15" hidden="false" customHeight="false" outlineLevel="0" collapsed="false">
      <c r="A53" s="14" t="s">
        <v>178</v>
      </c>
      <c r="B53" s="14" t="s">
        <v>179</v>
      </c>
      <c r="C53" s="14" t="s">
        <v>26</v>
      </c>
      <c r="D53" s="15" t="n">
        <v>575000</v>
      </c>
      <c r="E53" s="15" t="n">
        <v>44000</v>
      </c>
      <c r="F53" s="15" t="n">
        <v>0</v>
      </c>
      <c r="G53" s="16" t="s">
        <v>180</v>
      </c>
      <c r="H53" s="14"/>
      <c r="I53" s="17" t="n">
        <f aca="false">D53-F53</f>
        <v>575000</v>
      </c>
      <c r="J53" s="14" t="n">
        <f aca="false">$B$1-G53</f>
        <v>33</v>
      </c>
      <c r="K53" s="14" t="str">
        <f aca="false">IF(J53&lt;0,"Not Due",IF(J53&lt;=30,"Bucket 1",IF(J53&lt;=60,"Bucket 2",IF(J53&lt;=90,"Bucket 3","NPA"))))</f>
        <v>Bucket 2</v>
      </c>
      <c r="L53" s="18" t="n">
        <f aca="false">F53/E53*100</f>
        <v>0</v>
      </c>
    </row>
    <row r="54" customFormat="false" ht="15" hidden="false" customHeight="false" outlineLevel="0" collapsed="false">
      <c r="A54" s="14" t="s">
        <v>181</v>
      </c>
      <c r="B54" s="14" t="s">
        <v>182</v>
      </c>
      <c r="C54" s="14" t="s">
        <v>33</v>
      </c>
      <c r="D54" s="15" t="n">
        <v>350000</v>
      </c>
      <c r="E54" s="15" t="n">
        <v>25000</v>
      </c>
      <c r="F54" s="15" t="n">
        <v>25000</v>
      </c>
      <c r="G54" s="16" t="s">
        <v>150</v>
      </c>
      <c r="H54" s="16" t="s">
        <v>7</v>
      </c>
      <c r="I54" s="17" t="n">
        <f aca="false">D54-F54</f>
        <v>325000</v>
      </c>
      <c r="J54" s="14" t="n">
        <f aca="false">$B$1-G54</f>
        <v>10</v>
      </c>
      <c r="K54" s="14" t="str">
        <f aca="false">IF(J54&lt;0,"Not Due",IF(J54&lt;=30,"Bucket 1",IF(J54&lt;=60,"Bucket 2",IF(J54&lt;=90,"Bucket 3","NPA"))))</f>
        <v>Bucket 1</v>
      </c>
      <c r="L54" s="18" t="n">
        <f aca="false">F54/E54*100</f>
        <v>100</v>
      </c>
    </row>
    <row r="55" customFormat="false" ht="15" hidden="false" customHeight="false" outlineLevel="0" collapsed="false">
      <c r="A55" s="14" t="s">
        <v>183</v>
      </c>
      <c r="B55" s="14" t="s">
        <v>184</v>
      </c>
      <c r="C55" s="14" t="s">
        <v>22</v>
      </c>
      <c r="D55" s="15" t="n">
        <v>225000</v>
      </c>
      <c r="E55" s="15" t="n">
        <v>40000</v>
      </c>
      <c r="F55" s="15" t="n">
        <v>40000</v>
      </c>
      <c r="G55" s="16" t="s">
        <v>174</v>
      </c>
      <c r="H55" s="16" t="s">
        <v>7</v>
      </c>
      <c r="I55" s="17" t="n">
        <f aca="false">D55-F55</f>
        <v>185000</v>
      </c>
      <c r="J55" s="14" t="n">
        <f aca="false">$B$1-G55</f>
        <v>7</v>
      </c>
      <c r="K55" s="14" t="str">
        <f aca="false">IF(J55&lt;0,"Not Due",IF(J55&lt;=30,"Bucket 1",IF(J55&lt;=60,"Bucket 2",IF(J55&lt;=90,"Bucket 3","NPA"))))</f>
        <v>Bucket 1</v>
      </c>
      <c r="L55" s="18" t="n">
        <f aca="false">F55/E55*100</f>
        <v>100</v>
      </c>
    </row>
    <row r="56" customFormat="false" ht="15" hidden="false" customHeight="false" outlineLevel="0" collapsed="false">
      <c r="A56" s="14" t="s">
        <v>185</v>
      </c>
      <c r="B56" s="14" t="s">
        <v>186</v>
      </c>
      <c r="C56" s="14" t="s">
        <v>62</v>
      </c>
      <c r="D56" s="15" t="n">
        <v>700000</v>
      </c>
      <c r="E56" s="15" t="n">
        <v>34500</v>
      </c>
      <c r="F56" s="15" t="n">
        <v>0</v>
      </c>
      <c r="G56" s="16" t="s">
        <v>187</v>
      </c>
      <c r="H56" s="14"/>
      <c r="I56" s="17" t="n">
        <f aca="false">D56-F56</f>
        <v>700000</v>
      </c>
      <c r="J56" s="14" t="n">
        <f aca="false">$B$1-G56</f>
        <v>-2</v>
      </c>
      <c r="K56" s="14" t="str">
        <f aca="false">IF(J56&lt;0,"Not Due",IF(J56&lt;=30,"Bucket 1",IF(J56&lt;=60,"Bucket 2",IF(J56&lt;=90,"Bucket 3","NPA"))))</f>
        <v>Not Due</v>
      </c>
      <c r="L56" s="18" t="n">
        <f aca="false">F56/E56*100</f>
        <v>0</v>
      </c>
    </row>
    <row r="57" customFormat="false" ht="15" hidden="false" customHeight="false" outlineLevel="0" collapsed="false">
      <c r="A57" s="14" t="s">
        <v>188</v>
      </c>
      <c r="B57" s="14" t="s">
        <v>189</v>
      </c>
      <c r="C57" s="14" t="s">
        <v>22</v>
      </c>
      <c r="D57" s="15" t="n">
        <v>775000</v>
      </c>
      <c r="E57" s="15" t="n">
        <v>18000</v>
      </c>
      <c r="F57" s="15" t="n">
        <v>10529</v>
      </c>
      <c r="G57" s="16" t="s">
        <v>190</v>
      </c>
      <c r="H57" s="16" t="s">
        <v>63</v>
      </c>
      <c r="I57" s="17" t="n">
        <f aca="false">D57-F57</f>
        <v>764471</v>
      </c>
      <c r="J57" s="14" t="n">
        <f aca="false">$B$1-G57</f>
        <v>71</v>
      </c>
      <c r="K57" s="14" t="str">
        <f aca="false">IF(J57&lt;0,"Not Due",IF(J57&lt;=30,"Bucket 1",IF(J57&lt;=60,"Bucket 2",IF(J57&lt;=90,"Bucket 3","NPA"))))</f>
        <v>Bucket 3</v>
      </c>
      <c r="L57" s="18" t="n">
        <f aca="false">F57/E57*100</f>
        <v>58.4944444444445</v>
      </c>
    </row>
    <row r="58" customFormat="false" ht="15" hidden="false" customHeight="false" outlineLevel="0" collapsed="false">
      <c r="A58" s="14" t="s">
        <v>191</v>
      </c>
      <c r="B58" s="14" t="s">
        <v>192</v>
      </c>
      <c r="C58" s="14" t="s">
        <v>57</v>
      </c>
      <c r="D58" s="15" t="n">
        <v>225000</v>
      </c>
      <c r="E58" s="15" t="n">
        <v>6500</v>
      </c>
      <c r="F58" s="15" t="n">
        <v>6500</v>
      </c>
      <c r="G58" s="16" t="s">
        <v>193</v>
      </c>
      <c r="H58" s="16" t="s">
        <v>194</v>
      </c>
      <c r="I58" s="17" t="n">
        <f aca="false">D58-F58</f>
        <v>218500</v>
      </c>
      <c r="J58" s="14" t="n">
        <f aca="false">$B$1-G58</f>
        <v>26</v>
      </c>
      <c r="K58" s="14" t="str">
        <f aca="false">IF(J58&lt;0,"Not Due",IF(J58&lt;=30,"Bucket 1",IF(J58&lt;=60,"Bucket 2",IF(J58&lt;=90,"Bucket 3","NPA"))))</f>
        <v>Bucket 1</v>
      </c>
      <c r="L58" s="18" t="n">
        <f aca="false">F58/E58*100</f>
        <v>100</v>
      </c>
    </row>
    <row r="59" customFormat="false" ht="15" hidden="false" customHeight="false" outlineLevel="0" collapsed="false">
      <c r="A59" s="14" t="s">
        <v>195</v>
      </c>
      <c r="B59" s="14" t="s">
        <v>196</v>
      </c>
      <c r="C59" s="14" t="s">
        <v>62</v>
      </c>
      <c r="D59" s="15" t="n">
        <v>400000</v>
      </c>
      <c r="E59" s="15" t="n">
        <v>20000</v>
      </c>
      <c r="F59" s="15" t="n">
        <v>0</v>
      </c>
      <c r="G59" s="16" t="s">
        <v>197</v>
      </c>
      <c r="H59" s="14"/>
      <c r="I59" s="17" t="n">
        <f aca="false">D59-F59</f>
        <v>400000</v>
      </c>
      <c r="J59" s="14" t="n">
        <f aca="false">$B$1-G59</f>
        <v>61</v>
      </c>
      <c r="K59" s="14" t="str">
        <f aca="false">IF(J59&lt;0,"Not Due",IF(J59&lt;=30,"Bucket 1",IF(J59&lt;=60,"Bucket 2",IF(J59&lt;=90,"Bucket 3","NPA"))))</f>
        <v>Bucket 3</v>
      </c>
      <c r="L59" s="18" t="n">
        <f aca="false">F59/E59*100</f>
        <v>0</v>
      </c>
    </row>
    <row r="60" customFormat="false" ht="15" hidden="false" customHeight="false" outlineLevel="0" collapsed="false">
      <c r="A60" s="14" t="s">
        <v>198</v>
      </c>
      <c r="B60" s="14" t="s">
        <v>199</v>
      </c>
      <c r="C60" s="14" t="s">
        <v>26</v>
      </c>
      <c r="D60" s="15" t="n">
        <v>350000</v>
      </c>
      <c r="E60" s="15" t="n">
        <v>30000</v>
      </c>
      <c r="F60" s="15" t="n">
        <v>14292</v>
      </c>
      <c r="G60" s="16" t="s">
        <v>71</v>
      </c>
      <c r="H60" s="16" t="s">
        <v>200</v>
      </c>
      <c r="I60" s="17" t="n">
        <f aca="false">D60-F60</f>
        <v>335708</v>
      </c>
      <c r="J60" s="14" t="n">
        <f aca="false">$B$1-G60</f>
        <v>44</v>
      </c>
      <c r="K60" s="14" t="str">
        <f aca="false">IF(J60&lt;0,"Not Due",IF(J60&lt;=30,"Bucket 1",IF(J60&lt;=60,"Bucket 2",IF(J60&lt;=90,"Bucket 3","NPA"))))</f>
        <v>Bucket 2</v>
      </c>
      <c r="L60" s="18" t="n">
        <f aca="false">F60/E60*100</f>
        <v>47.64</v>
      </c>
    </row>
    <row r="61" customFormat="false" ht="15" hidden="false" customHeight="false" outlineLevel="0" collapsed="false">
      <c r="A61" s="14" t="s">
        <v>201</v>
      </c>
      <c r="B61" s="14" t="s">
        <v>202</v>
      </c>
      <c r="C61" s="14" t="s">
        <v>57</v>
      </c>
      <c r="D61" s="15" t="n">
        <v>375000</v>
      </c>
      <c r="E61" s="15" t="n">
        <v>47500</v>
      </c>
      <c r="F61" s="15" t="n">
        <v>12320</v>
      </c>
      <c r="G61" s="16" t="s">
        <v>122</v>
      </c>
      <c r="H61" s="16" t="s">
        <v>203</v>
      </c>
      <c r="I61" s="17" t="n">
        <f aca="false">D61-F61</f>
        <v>362680</v>
      </c>
      <c r="J61" s="14" t="n">
        <f aca="false">$B$1-G61</f>
        <v>34</v>
      </c>
      <c r="K61" s="14" t="str">
        <f aca="false">IF(J61&lt;0,"Not Due",IF(J61&lt;=30,"Bucket 1",IF(J61&lt;=60,"Bucket 2",IF(J61&lt;=90,"Bucket 3","NPA"))))</f>
        <v>Bucket 2</v>
      </c>
      <c r="L61" s="18" t="n">
        <f aca="false">F61/E61*100</f>
        <v>25.9368421052632</v>
      </c>
    </row>
    <row r="62" customFormat="false" ht="15" hidden="false" customHeight="false" outlineLevel="0" collapsed="false">
      <c r="A62" s="14" t="s">
        <v>204</v>
      </c>
      <c r="B62" s="14" t="s">
        <v>205</v>
      </c>
      <c r="C62" s="14" t="s">
        <v>33</v>
      </c>
      <c r="D62" s="15" t="n">
        <v>650000</v>
      </c>
      <c r="E62" s="15" t="n">
        <v>45000</v>
      </c>
      <c r="F62" s="15" t="n">
        <v>0</v>
      </c>
      <c r="G62" s="16" t="s">
        <v>125</v>
      </c>
      <c r="H62" s="14"/>
      <c r="I62" s="17" t="n">
        <f aca="false">D62-F62</f>
        <v>650000</v>
      </c>
      <c r="J62" s="14" t="n">
        <f aca="false">$B$1-G62</f>
        <v>96</v>
      </c>
      <c r="K62" s="14" t="str">
        <f aca="false">IF(J62&lt;0,"Not Due",IF(J62&lt;=30,"Bucket 1",IF(J62&lt;=60,"Bucket 2",IF(J62&lt;=90,"Bucket 3","NPA"))))</f>
        <v>NPA</v>
      </c>
      <c r="L62" s="18" t="n">
        <f aca="false">F62/E62*100</f>
        <v>0</v>
      </c>
    </row>
    <row r="63" customFormat="false" ht="15" hidden="false" customHeight="false" outlineLevel="0" collapsed="false">
      <c r="A63" s="14" t="s">
        <v>206</v>
      </c>
      <c r="B63" s="14" t="s">
        <v>207</v>
      </c>
      <c r="C63" s="14" t="s">
        <v>33</v>
      </c>
      <c r="D63" s="15" t="n">
        <v>200000</v>
      </c>
      <c r="E63" s="15" t="n">
        <v>37000</v>
      </c>
      <c r="F63" s="15" t="n">
        <v>37000</v>
      </c>
      <c r="G63" s="16" t="s">
        <v>112</v>
      </c>
      <c r="H63" s="16" t="s">
        <v>208</v>
      </c>
      <c r="I63" s="17" t="n">
        <f aca="false">D63-F63</f>
        <v>163000</v>
      </c>
      <c r="J63" s="14" t="n">
        <f aca="false">$B$1-G63</f>
        <v>59</v>
      </c>
      <c r="K63" s="14" t="str">
        <f aca="false">IF(J63&lt;0,"Not Due",IF(J63&lt;=30,"Bucket 1",IF(J63&lt;=60,"Bucket 2",IF(J63&lt;=90,"Bucket 3","NPA"))))</f>
        <v>Bucket 2</v>
      </c>
      <c r="L63" s="18" t="n">
        <f aca="false">F63/E63*100</f>
        <v>100</v>
      </c>
    </row>
  </sheetData>
  <conditionalFormatting sqref="L4:L63">
    <cfRule type="cellIs" priority="2" operator="lessThan" aboveAverage="0" equalAverage="0" bottom="0" percent="0" rank="0" text="" dxfId="0">
      <formula>60</formula>
    </cfRule>
    <cfRule type="cellIs" priority="3" operator="between" aboveAverage="0" equalAverage="0" bottom="0" percent="0" rank="0" text="" dxfId="1">
      <formula>60</formula>
      <formula>80</formula>
    </cfRule>
    <cfRule type="cellIs" priority="4" operator="greaterThan" aboveAverage="0" equalAverage="0" bottom="0" percent="0" rank="0" text="" dxfId="2">
      <formula>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9" t="s">
        <v>209</v>
      </c>
    </row>
    <row r="3" customFormat="false" ht="15" hidden="false" customHeight="false" outlineLevel="0" collapsed="false">
      <c r="A3" s="13" t="s">
        <v>18</v>
      </c>
      <c r="B3" s="13" t="s">
        <v>210</v>
      </c>
    </row>
    <row r="4" customFormat="false" ht="15" hidden="false" customHeight="false" outlineLevel="0" collapsed="false">
      <c r="A4" s="14" t="s">
        <v>211</v>
      </c>
      <c r="B4" s="17" t="n">
        <f aca="false">SUMIF('Raw Data'!$K$4:$K$63,A4,'Raw Data'!$I$4:$I$63)</f>
        <v>4575000</v>
      </c>
    </row>
    <row r="5" customFormat="false" ht="15" hidden="false" customHeight="false" outlineLevel="0" collapsed="false">
      <c r="A5" s="14" t="s">
        <v>212</v>
      </c>
      <c r="B5" s="17" t="n">
        <f aca="false">SUMIF('Raw Data'!$K$4:$K$63,A5,'Raw Data'!$I$4:$I$63)</f>
        <v>6973079</v>
      </c>
    </row>
    <row r="6" customFormat="false" ht="15" hidden="false" customHeight="false" outlineLevel="0" collapsed="false">
      <c r="A6" s="14" t="s">
        <v>213</v>
      </c>
      <c r="B6" s="17" t="n">
        <f aca="false">SUMIF('Raw Data'!$K$4:$K$63,A6,'Raw Data'!$I$4:$I$63)</f>
        <v>11523289</v>
      </c>
    </row>
    <row r="7" customFormat="false" ht="15" hidden="false" customHeight="false" outlineLevel="0" collapsed="false">
      <c r="A7" s="14" t="s">
        <v>214</v>
      </c>
      <c r="B7" s="17" t="n">
        <f aca="false">SUMIF('Raw Data'!$K$4:$K$63,A7,'Raw Data'!$I$4:$I$63)</f>
        <v>4819959</v>
      </c>
    </row>
    <row r="8" customFormat="false" ht="15" hidden="false" customHeight="false" outlineLevel="0" collapsed="false">
      <c r="A8" s="14" t="s">
        <v>215</v>
      </c>
      <c r="B8" s="17" t="n">
        <f aca="false">SUMIF('Raw Data'!$K$4:$K$63,A8,'Raw Data'!$I$4:$I$63)</f>
        <v>2521497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9" t="s">
        <v>216</v>
      </c>
    </row>
    <row r="3" customFormat="false" ht="15" hidden="false" customHeight="false" outlineLevel="0" collapsed="false">
      <c r="A3" s="13" t="s">
        <v>10</v>
      </c>
      <c r="B3" s="13" t="s">
        <v>13</v>
      </c>
      <c r="C3" s="13" t="s">
        <v>19</v>
      </c>
    </row>
    <row r="4" customFormat="false" ht="15" hidden="false" customHeight="false" outlineLevel="0" collapsed="false">
      <c r="A4" s="14" t="s">
        <v>33</v>
      </c>
      <c r="B4" s="17" t="n">
        <f aca="false">SUMIF('Raw Data'!$C$4:$C$63,A4,'Raw Data'!$F$4:$F$63)</f>
        <v>284601</v>
      </c>
      <c r="C4" s="18" t="n">
        <f aca="false">B4/(SUMIF('Raw Data'!$C$4:$C$63,A4,'Raw Data'!$E$4:$E$63))*100</f>
        <v>58.2006134969325</v>
      </c>
    </row>
    <row r="5" customFormat="false" ht="15" hidden="false" customHeight="false" outlineLevel="0" collapsed="false">
      <c r="A5" s="14" t="s">
        <v>22</v>
      </c>
      <c r="B5" s="17" t="n">
        <f aca="false">SUMIF('Raw Data'!$C$4:$C$63,A5,'Raw Data'!$F$4:$F$63)</f>
        <v>85231</v>
      </c>
      <c r="C5" s="18" t="n">
        <f aca="false">B5/(SUMIF('Raw Data'!$C$4:$C$63,A5,'Raw Data'!$E$4:$E$63))*100</f>
        <v>27.1869218500797</v>
      </c>
    </row>
    <row r="6" customFormat="false" ht="15" hidden="false" customHeight="false" outlineLevel="0" collapsed="false">
      <c r="A6" s="14" t="s">
        <v>57</v>
      </c>
      <c r="B6" s="17" t="n">
        <f aca="false">SUMIF('Raw Data'!$C$4:$C$63,A6,'Raw Data'!$F$4:$F$63)</f>
        <v>195820</v>
      </c>
      <c r="C6" s="18" t="n">
        <f aca="false">B6/(SUMIF('Raw Data'!$C$4:$C$63,A6,'Raw Data'!$E$4:$E$63))*100</f>
        <v>68.5884413309983</v>
      </c>
    </row>
    <row r="7" customFormat="false" ht="15" hidden="false" customHeight="false" outlineLevel="0" collapsed="false">
      <c r="A7" s="14" t="s">
        <v>26</v>
      </c>
      <c r="B7" s="17" t="n">
        <f aca="false">SUMIF('Raw Data'!$C$4:$C$63,A7,'Raw Data'!$F$4:$F$63)</f>
        <v>87806</v>
      </c>
      <c r="C7" s="18" t="n">
        <f aca="false">B7/(SUMIF('Raw Data'!$C$4:$C$63,A7,'Raw Data'!$E$4:$E$63))*100</f>
        <v>23.4461949265688</v>
      </c>
    </row>
    <row r="8" customFormat="false" ht="15" hidden="false" customHeight="false" outlineLevel="0" collapsed="false">
      <c r="A8" s="14" t="s">
        <v>62</v>
      </c>
      <c r="B8" s="17" t="n">
        <f aca="false">SUMIF('Raw Data'!$C$4:$C$63,A8,'Raw Data'!$F$4:$F$63)</f>
        <v>83718</v>
      </c>
      <c r="C8" s="18" t="n">
        <f aca="false">B8/(SUMIF('Raw Data'!$C$4:$C$63,A8,'Raw Data'!$E$4:$E$63))*100</f>
        <v>32.70234375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2026-07-01T08:48:21Z</dcterms:created>
  <dc:creator>openpyxl</dc:creator>
  <dc:description/>
  <dc:language>en-US</dc:language>
  <cp:lastModifiedBy/>
  <dcterms:modified xsi:type="dcterms:W3CDTF">2026-07-01T08:48:24Z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