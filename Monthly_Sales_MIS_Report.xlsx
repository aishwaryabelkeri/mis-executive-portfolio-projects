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  <sheet name="Region Summary" sheetId="3" state="visible" r:id="rId5"/>
    <sheet name="Agent Summary" sheetId="4" state="visible" r:id="rId6"/>
    <sheet name="Month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<sst xmlns="http://schemas.openxmlformats.org/spreadsheetml/2006/main" count="247" uniqueCount="46">
  <si>
    <t xml:space="preserve">MONTHLY SALES MIS REPORT — SUMMARY</t>
  </si>
  <si>
    <t xml:space="preserve">Total Revenue</t>
  </si>
  <si>
    <t xml:space="preserve">Total Agents</t>
  </si>
  <si>
    <t xml:space="preserve">% Who Hit Target</t>
  </si>
  <si>
    <t xml:space="preserve">Top Agent Name</t>
  </si>
  <si>
    <t xml:space="preserve">Charts</t>
  </si>
  <si>
    <t xml:space="preserve">Agent Name</t>
  </si>
  <si>
    <t xml:space="preserve">Region</t>
  </si>
  <si>
    <t xml:space="preserve">Product</t>
  </si>
  <si>
    <t xml:space="preserve">Target (₹)</t>
  </si>
  <si>
    <t xml:space="preserve">Actual Sales (₹)</t>
  </si>
  <si>
    <t xml:space="preserve">Month</t>
  </si>
  <si>
    <t xml:space="preserve">Achievement %</t>
  </si>
  <si>
    <t xml:space="preserve">Status</t>
  </si>
  <si>
    <t xml:space="preserve">Rajesh Kumar</t>
  </si>
  <si>
    <t xml:space="preserve">North</t>
  </si>
  <si>
    <t xml:space="preserve">Product B</t>
  </si>
  <si>
    <t xml:space="preserve">Jan-2026</t>
  </si>
  <si>
    <t xml:space="preserve">Anita Sharma</t>
  </si>
  <si>
    <t xml:space="preserve">Product D</t>
  </si>
  <si>
    <t xml:space="preserve">Feb-2026</t>
  </si>
  <si>
    <t xml:space="preserve">Vikram Singh</t>
  </si>
  <si>
    <t xml:space="preserve">Product C</t>
  </si>
  <si>
    <t xml:space="preserve">Mar-2026</t>
  </si>
  <si>
    <t xml:space="preserve">Priya Nair</t>
  </si>
  <si>
    <t xml:space="preserve">South</t>
  </si>
  <si>
    <t xml:space="preserve">Apr-2026</t>
  </si>
  <si>
    <t xml:space="preserve">Suresh Reddy</t>
  </si>
  <si>
    <t xml:space="preserve">May-2026</t>
  </si>
  <si>
    <t xml:space="preserve">Divya Menon</t>
  </si>
  <si>
    <t xml:space="preserve">Jun-2026</t>
  </si>
  <si>
    <t xml:space="preserve">Amit Patel</t>
  </si>
  <si>
    <t xml:space="preserve">West</t>
  </si>
  <si>
    <t xml:space="preserve">Product A</t>
  </si>
  <si>
    <t xml:space="preserve">Neha Joshi</t>
  </si>
  <si>
    <t xml:space="preserve">Kiran Desai</t>
  </si>
  <si>
    <t xml:space="preserve">Ravi Verma</t>
  </si>
  <si>
    <t xml:space="preserve">East</t>
  </si>
  <si>
    <t xml:space="preserve">Sneha Ghosh</t>
  </si>
  <si>
    <t xml:space="preserve">Arjun Malhotra</t>
  </si>
  <si>
    <t xml:space="preserve">Central</t>
  </si>
  <si>
    <t xml:space="preserve">Pooja Iyer</t>
  </si>
  <si>
    <t xml:space="preserve">Region-wise Sales Summary</t>
  </si>
  <si>
    <t xml:space="preserve">Total Actual Sales</t>
  </si>
  <si>
    <t xml:space="preserve">Agent-wise Achievement Summary</t>
  </si>
  <si>
    <t xml:space="preserve">Month-over-Month Sales Trend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</si>
</sst>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"/>
    <numFmt numFmtId="167" formatCode="0.0%"/>
    <numFmt numFmtId="168" formatCode="@"/>
    <numFmt numFmtId="169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6A1B9A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6A1B9A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2E7D32"/>
      <rgbColor rgb="FF003300"/>
      <rgbColor rgb="FF333300"/>
      <rgbColor rgb="FFC0392B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Summary'!B3</c:f>
              <c:strCache>
                <c:ptCount val="1"/>
                <c:pt idx="0">
                  <c:v>Total Actual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Summary'!$B$4:$B$8</c:f>
              <c:numCache>
                <c:formatCode>\₹#,##0</c:formatCode>
                <c:ptCount val="5"/>
                <c:pt idx="0">
                  <c:v>536334</c:v>
                </c:pt>
                <c:pt idx="1">
                  <c:v>838716</c:v>
                </c:pt>
                <c:pt idx="2">
                  <c:v>1494841</c:v>
                </c:pt>
                <c:pt idx="3">
                  <c:v>1478230</c:v>
                </c:pt>
                <c:pt idx="4">
                  <c:v>1386191</c:v>
                </c:pt>
              </c:numCache>
            </c:numRef>
          </c:val>
        </c:ser>
        <c:gapWidth val="150"/>
        <c:overlap val="0"/>
        <c:axId val="35598197"/>
        <c:axId val="23636639"/>
      </c:barChart>
      <c:catAx>
        <c:axId val="355981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36639"/>
        <c:crosses val="autoZero"/>
        <c:auto val="1"/>
        <c:lblAlgn val="ctr"/>
        <c:lblOffset val="100"/>
        <c:noMultiLvlLbl val="0"/>
      </c:catAx>
      <c:valAx>
        <c:axId val="23636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981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 Summary'!B3</c:f>
              <c:strCache>
                <c:ptCount val="1"/>
                <c:pt idx="0">
                  <c:v>Total Actual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 Summary'!$A$4:$A$9</c:f>
              <c:strCache>
                <c:ptCount val="6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</c:strCache>
            </c:strRef>
          </c:cat>
          <c:val>
            <c:numRef>
              <c:f>'Month Summary'!$B$4:$B$9</c:f>
              <c:numCache>
                <c:formatCode>\₹#,##0</c:formatCode>
                <c:ptCount val="6"/>
                <c:pt idx="0">
                  <c:v>1253988</c:v>
                </c:pt>
                <c:pt idx="1">
                  <c:v>1015551</c:v>
                </c:pt>
                <c:pt idx="2">
                  <c:v>910477</c:v>
                </c:pt>
                <c:pt idx="3">
                  <c:v>914111</c:v>
                </c:pt>
                <c:pt idx="4">
                  <c:v>911475</c:v>
                </c:pt>
                <c:pt idx="5">
                  <c:v>728710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593945"/>
        <c:axId val="88690797"/>
      </c:lineChart>
      <c:catAx>
        <c:axId val="935939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90797"/>
        <c:crosses val="autoZero"/>
        <c:auto val="1"/>
        <c:lblAlgn val="ctr"/>
        <c:lblOffset val="100"/>
        <c:noMultiLvlLbl val="0"/>
      </c:catAx>
      <c:valAx>
        <c:axId val="886907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939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Sales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Summary'!B3</c:f>
              <c:strCache>
                <c:ptCount val="1"/>
                <c:pt idx="0">
                  <c:v>Total Actual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Summary'!$B$4:$B$8</c:f>
              <c:numCache>
                <c:formatCode>\₹#,##0</c:formatCode>
                <c:ptCount val="5"/>
                <c:pt idx="0">
                  <c:v>536334</c:v>
                </c:pt>
                <c:pt idx="1">
                  <c:v>838716</c:v>
                </c:pt>
                <c:pt idx="2">
                  <c:v>1494841</c:v>
                </c:pt>
                <c:pt idx="3">
                  <c:v>1478230</c:v>
                </c:pt>
                <c:pt idx="4">
                  <c:v>1386191</c:v>
                </c:pt>
              </c:numCache>
            </c:numRef>
          </c:val>
        </c:ser>
        <c:gapWidth val="150"/>
        <c:overlap val="0"/>
        <c:axId val="61805088"/>
        <c:axId val="64185153"/>
      </c:barChart>
      <c:catAx>
        <c:axId val="618050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85153"/>
        <c:crosses val="autoZero"/>
        <c:auto val="1"/>
        <c:lblAlgn val="ctr"/>
        <c:lblOffset val="100"/>
        <c:noMultiLvlLbl val="0"/>
      </c:catAx>
      <c:valAx>
        <c:axId val="64185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Actual 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50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Month-over-Month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 Summary'!B3</c:f>
              <c:strCache>
                <c:ptCount val="1"/>
                <c:pt idx="0">
                  <c:v>Total Actual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 Summary'!$A$4:$A$9</c:f>
              <c:strCache>
                <c:ptCount val="6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</c:strCache>
            </c:strRef>
          </c:cat>
          <c:val>
            <c:numRef>
              <c:f>'Month Summary'!$B$4:$B$9</c:f>
              <c:numCache>
                <c:formatCode>\₹#,##0</c:formatCode>
                <c:ptCount val="6"/>
                <c:pt idx="0">
                  <c:v>1253988</c:v>
                </c:pt>
                <c:pt idx="1">
                  <c:v>1015551</c:v>
                </c:pt>
                <c:pt idx="2">
                  <c:v>910477</c:v>
                </c:pt>
                <c:pt idx="3">
                  <c:v>914111</c:v>
                </c:pt>
                <c:pt idx="4">
                  <c:v>911475</c:v>
                </c:pt>
                <c:pt idx="5">
                  <c:v>728710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316075"/>
        <c:axId val="21684385"/>
      </c:lineChart>
      <c:catAx>
        <c:axId val="113160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84385"/>
        <c:crosses val="autoZero"/>
        <c:auto val="1"/>
        <c:lblAlgn val="ctr"/>
        <c:lblOffset val="100"/>
        <c:noMultiLvlLbl val="0"/>
      </c:catAx>
      <c:valAx>
        <c:axId val="21684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Actual 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16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101160</xdr:rowOff>
    </xdr:from>
    <xdr:to>
      <xdr:col>5</xdr:col>
      <xdr:colOff>113400</xdr:colOff>
      <xdr:row>24</xdr:row>
      <xdr:rowOff>123120</xdr:rowOff>
    </xdr:to>
    <xdr:graphicFrame>
      <xdr:nvGraphicFramePr>
        <xdr:cNvPr id="0" name="Chart 1"/>
        <xdr:cNvGraphicFramePr/>
      </xdr:nvGraphicFramePr>
      <xdr:xfrm>
        <a:off x="0" y="22194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101160</xdr:rowOff>
    </xdr:from>
    <xdr:to>
      <xdr:col>11</xdr:col>
      <xdr:colOff>393120</xdr:colOff>
      <xdr:row>24</xdr:row>
      <xdr:rowOff>123120</xdr:rowOff>
    </xdr:to>
    <xdr:graphicFrame>
      <xdr:nvGraphicFramePr>
        <xdr:cNvPr id="1" name="Chart 2"/>
        <xdr:cNvGraphicFramePr/>
      </xdr:nvGraphicFramePr>
      <xdr:xfrm>
        <a:off x="5286240" y="22194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256320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30081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256320</xdr:colOff>
      <xdr:row>18</xdr:row>
      <xdr:rowOff>161640</xdr:rowOff>
    </xdr:to>
    <xdr:graphicFrame>
      <xdr:nvGraphicFramePr>
        <xdr:cNvPr id="3" name="Chart 1"/>
        <xdr:cNvGraphicFramePr/>
      </xdr:nvGraphicFramePr>
      <xdr:xfrm>
        <a:off x="30081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</row>
    <row r="4" customFormat="false" ht="39.75" hidden="false" customHeight="true" outlineLevel="0" collapsed="false">
      <c r="A4" s="6" t="n">
        <f aca="false">SUM('Raw Data'!E2:E51)</f>
        <v>5734312</v>
      </c>
      <c r="B4" s="6"/>
      <c r="C4" s="7" t="n">
        <f aca="false">SUMPRODUCT(1/COUNTIF('Raw Data'!A2:A51,'Raw Data'!A2:A51))</f>
        <v>13</v>
      </c>
      <c r="D4" s="7"/>
      <c r="E4" s="8" t="n">
        <f aca="false">COUNTIF('Raw Data'!H2:H51,"Met Target")/COUNTA('Raw Data'!H2:H51)</f>
        <v>0.36</v>
      </c>
      <c r="F4" s="8"/>
      <c r="G4" s="9" t="str">
        <f aca="false">'Agent Summary'!A4</f>
        <v>Amit Patel</v>
      </c>
      <c r="H4" s="9"/>
    </row>
    <row r="5" customFormat="false" ht="15" hidden="false" customHeight="false" outlineLevel="0" collapsed="false">
      <c r="A5" s="6"/>
      <c r="B5" s="6"/>
      <c r="C5" s="7"/>
      <c r="D5" s="7"/>
      <c r="E5" s="8"/>
      <c r="F5" s="8"/>
      <c r="G5" s="9"/>
      <c r="H5" s="9"/>
    </row>
    <row r="6" customFormat="false" ht="15" hidden="false" customHeight="false" outlineLevel="0" collapsed="false">
      <c r="A6" s="6"/>
      <c r="B6" s="6"/>
      <c r="C6" s="7"/>
      <c r="D6" s="7"/>
      <c r="E6" s="8"/>
      <c r="F6" s="8"/>
      <c r="G6" s="9"/>
      <c r="H6" s="9"/>
    </row>
    <row r="9" customFormat="false" ht="17.35" hidden="false" customHeight="false" outlineLevel="0" collapsed="false">
      <c r="A9" s="10" t="s">
        <v>5</v>
      </c>
    </row>
  </sheetData>
  <mergeCells count="9">
    <mergeCell ref="A1:H1"/>
    <mergeCell ref="A3:B3"/>
    <mergeCell ref="C3:D3"/>
    <mergeCell ref="E3:F3"/>
    <mergeCell ref="G3:H3"/>
    <mergeCell ref="A4:B6"/>
    <mergeCell ref="C4:D6"/>
    <mergeCell ref="E4:F6"/>
    <mergeCell ref="G4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</row>
    <row r="2" customFormat="false" ht="15" hidden="false" customHeight="false" outlineLevel="0" collapsed="false">
      <c r="A2" s="12" t="s">
        <v>14</v>
      </c>
      <c r="B2" s="12" t="s">
        <v>15</v>
      </c>
      <c r="C2" s="12" t="s">
        <v>16</v>
      </c>
      <c r="D2" s="13" t="n">
        <v>160000</v>
      </c>
      <c r="E2" s="13" t="n">
        <v>178850</v>
      </c>
      <c r="F2" s="12" t="s">
        <v>17</v>
      </c>
      <c r="G2" s="14" t="n">
        <f aca="false">E2/D2*100</f>
        <v>111.78125</v>
      </c>
      <c r="H2" s="12" t="str">
        <f aca="false">IF(G2&gt;=100,"Met Target","Below Target")</f>
        <v>Met Target</v>
      </c>
    </row>
    <row r="3" customFormat="false" ht="15" hidden="false" customHeight="false" outlineLevel="0" collapsed="false">
      <c r="A3" s="12" t="s">
        <v>18</v>
      </c>
      <c r="B3" s="12" t="s">
        <v>15</v>
      </c>
      <c r="C3" s="12" t="s">
        <v>19</v>
      </c>
      <c r="D3" s="13" t="n">
        <v>85000</v>
      </c>
      <c r="E3" s="13" t="n">
        <v>63825</v>
      </c>
      <c r="F3" s="12" t="s">
        <v>20</v>
      </c>
      <c r="G3" s="14" t="n">
        <f aca="false">E3/D3*100</f>
        <v>75.0882352941176</v>
      </c>
      <c r="H3" s="12" t="str">
        <f aca="false">IF(G3&gt;=100,"Met Target","Below Target")</f>
        <v>Below Target</v>
      </c>
    </row>
    <row r="4" customFormat="false" ht="15" hidden="false" customHeight="false" outlineLevel="0" collapsed="false">
      <c r="A4" s="12" t="s">
        <v>21</v>
      </c>
      <c r="B4" s="12" t="s">
        <v>15</v>
      </c>
      <c r="C4" s="12" t="s">
        <v>22</v>
      </c>
      <c r="D4" s="13" t="n">
        <v>175000</v>
      </c>
      <c r="E4" s="13" t="n">
        <v>172522</v>
      </c>
      <c r="F4" s="12" t="s">
        <v>23</v>
      </c>
      <c r="G4" s="14" t="n">
        <f aca="false">E4/D4*100</f>
        <v>98.584</v>
      </c>
      <c r="H4" s="12" t="str">
        <f aca="false">IF(G4&gt;=100,"Met Target","Below Target")</f>
        <v>Below Target</v>
      </c>
    </row>
    <row r="5" customFormat="false" ht="15" hidden="false" customHeight="false" outlineLevel="0" collapsed="false">
      <c r="A5" s="12" t="s">
        <v>24</v>
      </c>
      <c r="B5" s="12" t="s">
        <v>25</v>
      </c>
      <c r="C5" s="12" t="s">
        <v>16</v>
      </c>
      <c r="D5" s="13" t="n">
        <v>160000</v>
      </c>
      <c r="E5" s="13" t="n">
        <v>134656</v>
      </c>
      <c r="F5" s="12" t="s">
        <v>26</v>
      </c>
      <c r="G5" s="14" t="n">
        <f aca="false">E5/D5*100</f>
        <v>84.16</v>
      </c>
      <c r="H5" s="12" t="str">
        <f aca="false">IF(G5&gt;=100,"Met Target","Below Target")</f>
        <v>Below Target</v>
      </c>
    </row>
    <row r="6" customFormat="false" ht="15" hidden="false" customHeight="false" outlineLevel="0" collapsed="false">
      <c r="A6" s="12" t="s">
        <v>27</v>
      </c>
      <c r="B6" s="12" t="s">
        <v>25</v>
      </c>
      <c r="C6" s="12" t="s">
        <v>22</v>
      </c>
      <c r="D6" s="13" t="n">
        <v>70000</v>
      </c>
      <c r="E6" s="13" t="n">
        <v>71591</v>
      </c>
      <c r="F6" s="12" t="s">
        <v>28</v>
      </c>
      <c r="G6" s="14" t="n">
        <f aca="false">E6/D6*100</f>
        <v>102.272857142857</v>
      </c>
      <c r="H6" s="12" t="str">
        <f aca="false">IF(G6&gt;=100,"Met Target","Below Target")</f>
        <v>Met Target</v>
      </c>
    </row>
    <row r="7" customFormat="false" ht="15" hidden="false" customHeight="false" outlineLevel="0" collapsed="false">
      <c r="A7" s="12" t="s">
        <v>29</v>
      </c>
      <c r="B7" s="12" t="s">
        <v>25</v>
      </c>
      <c r="C7" s="12" t="s">
        <v>22</v>
      </c>
      <c r="D7" s="13" t="n">
        <v>65000</v>
      </c>
      <c r="E7" s="13" t="n">
        <v>62099</v>
      </c>
      <c r="F7" s="12" t="s">
        <v>30</v>
      </c>
      <c r="G7" s="14" t="n">
        <f aca="false">E7/D7*100</f>
        <v>95.5369230769231</v>
      </c>
      <c r="H7" s="12" t="str">
        <f aca="false">IF(G7&gt;=100,"Met Target","Below Target")</f>
        <v>Below Target</v>
      </c>
    </row>
    <row r="8" customFormat="false" ht="15" hidden="false" customHeight="false" outlineLevel="0" collapsed="false">
      <c r="A8" s="12" t="s">
        <v>31</v>
      </c>
      <c r="B8" s="12" t="s">
        <v>32</v>
      </c>
      <c r="C8" s="12" t="s">
        <v>33</v>
      </c>
      <c r="D8" s="13" t="n">
        <v>105000</v>
      </c>
      <c r="E8" s="13" t="n">
        <v>138681</v>
      </c>
      <c r="F8" s="12" t="s">
        <v>17</v>
      </c>
      <c r="G8" s="14" t="n">
        <f aca="false">E8/D8*100</f>
        <v>132.077142857143</v>
      </c>
      <c r="H8" s="12" t="str">
        <f aca="false">IF(G8&gt;=100,"Met Target","Below Target")</f>
        <v>Met Target</v>
      </c>
    </row>
    <row r="9" customFormat="false" ht="15" hidden="false" customHeight="false" outlineLevel="0" collapsed="false">
      <c r="A9" s="12" t="s">
        <v>34</v>
      </c>
      <c r="B9" s="12" t="s">
        <v>32</v>
      </c>
      <c r="C9" s="12" t="s">
        <v>22</v>
      </c>
      <c r="D9" s="13" t="n">
        <v>175000</v>
      </c>
      <c r="E9" s="13" t="n">
        <v>119838</v>
      </c>
      <c r="F9" s="12" t="s">
        <v>20</v>
      </c>
      <c r="G9" s="14" t="n">
        <f aca="false">E9/D9*100</f>
        <v>68.4788571428571</v>
      </c>
      <c r="H9" s="12" t="str">
        <f aca="false">IF(G9&gt;=100,"Met Target","Below Target")</f>
        <v>Below Target</v>
      </c>
    </row>
    <row r="10" customFormat="false" ht="15" hidden="false" customHeight="false" outlineLevel="0" collapsed="false">
      <c r="A10" s="12" t="s">
        <v>35</v>
      </c>
      <c r="B10" s="12" t="s">
        <v>32</v>
      </c>
      <c r="C10" s="12" t="s">
        <v>19</v>
      </c>
      <c r="D10" s="13" t="n">
        <v>135000</v>
      </c>
      <c r="E10" s="13" t="n">
        <v>115128</v>
      </c>
      <c r="F10" s="12" t="s">
        <v>23</v>
      </c>
      <c r="G10" s="14" t="n">
        <f aca="false">E10/D10*100</f>
        <v>85.28</v>
      </c>
      <c r="H10" s="12" t="str">
        <f aca="false">IF(G10&gt;=100,"Met Target","Below Target")</f>
        <v>Below Target</v>
      </c>
    </row>
    <row r="11" customFormat="false" ht="15" hidden="false" customHeight="false" outlineLevel="0" collapsed="false">
      <c r="A11" s="12" t="s">
        <v>36</v>
      </c>
      <c r="B11" s="12" t="s">
        <v>37</v>
      </c>
      <c r="C11" s="12" t="s">
        <v>19</v>
      </c>
      <c r="D11" s="13" t="n">
        <v>60000</v>
      </c>
      <c r="E11" s="13" t="n">
        <v>46610</v>
      </c>
      <c r="F11" s="12" t="s">
        <v>26</v>
      </c>
      <c r="G11" s="14" t="n">
        <f aca="false">E11/D11*100</f>
        <v>77.6833333333333</v>
      </c>
      <c r="H11" s="12" t="str">
        <f aca="false">IF(G11&gt;=100,"Met Target","Below Target")</f>
        <v>Below Target</v>
      </c>
    </row>
    <row r="12" customFormat="false" ht="15" hidden="false" customHeight="false" outlineLevel="0" collapsed="false">
      <c r="A12" s="12" t="s">
        <v>38</v>
      </c>
      <c r="B12" s="12" t="s">
        <v>37</v>
      </c>
      <c r="C12" s="12" t="s">
        <v>22</v>
      </c>
      <c r="D12" s="13" t="n">
        <v>140000</v>
      </c>
      <c r="E12" s="13" t="n">
        <v>109198</v>
      </c>
      <c r="F12" s="12" t="s">
        <v>28</v>
      </c>
      <c r="G12" s="14" t="n">
        <f aca="false">E12/D12*100</f>
        <v>77.9985714285714</v>
      </c>
      <c r="H12" s="12" t="str">
        <f aca="false">IF(G12&gt;=100,"Met Target","Below Target")</f>
        <v>Below Target</v>
      </c>
    </row>
    <row r="13" customFormat="false" ht="15" hidden="false" customHeight="false" outlineLevel="0" collapsed="false">
      <c r="A13" s="12" t="s">
        <v>39</v>
      </c>
      <c r="B13" s="12" t="s">
        <v>40</v>
      </c>
      <c r="C13" s="12" t="s">
        <v>33</v>
      </c>
      <c r="D13" s="13" t="n">
        <v>55000</v>
      </c>
      <c r="E13" s="13" t="n">
        <v>57815</v>
      </c>
      <c r="F13" s="12" t="s">
        <v>30</v>
      </c>
      <c r="G13" s="14" t="n">
        <f aca="false">E13/D13*100</f>
        <v>105.118181818182</v>
      </c>
      <c r="H13" s="12" t="str">
        <f aca="false">IF(G13&gt;=100,"Met Target","Below Target")</f>
        <v>Met Target</v>
      </c>
    </row>
    <row r="14" customFormat="false" ht="15" hidden="false" customHeight="false" outlineLevel="0" collapsed="false">
      <c r="A14" s="12" t="s">
        <v>41</v>
      </c>
      <c r="B14" s="12" t="s">
        <v>40</v>
      </c>
      <c r="C14" s="12" t="s">
        <v>22</v>
      </c>
      <c r="D14" s="13" t="n">
        <v>60000</v>
      </c>
      <c r="E14" s="13" t="n">
        <v>50677</v>
      </c>
      <c r="F14" s="12" t="s">
        <v>17</v>
      </c>
      <c r="G14" s="14" t="n">
        <f aca="false">E14/D14*100</f>
        <v>84.4616666666667</v>
      </c>
      <c r="H14" s="12" t="str">
        <f aca="false">IF(G14&gt;=100,"Met Target","Below Target")</f>
        <v>Below Target</v>
      </c>
    </row>
    <row r="15" customFormat="false" ht="15" hidden="false" customHeight="false" outlineLevel="0" collapsed="false">
      <c r="A15" s="12" t="s">
        <v>14</v>
      </c>
      <c r="B15" s="12" t="s">
        <v>15</v>
      </c>
      <c r="C15" s="12" t="s">
        <v>33</v>
      </c>
      <c r="D15" s="13" t="n">
        <v>110000</v>
      </c>
      <c r="E15" s="13" t="n">
        <v>109830</v>
      </c>
      <c r="F15" s="12" t="s">
        <v>20</v>
      </c>
      <c r="G15" s="14" t="n">
        <f aca="false">E15/D15*100</f>
        <v>99.8454545454545</v>
      </c>
      <c r="H15" s="12" t="str">
        <f aca="false">IF(G15&gt;=100,"Met Target","Below Target")</f>
        <v>Below Target</v>
      </c>
    </row>
    <row r="16" customFormat="false" ht="15" hidden="false" customHeight="false" outlineLevel="0" collapsed="false">
      <c r="A16" s="12" t="s">
        <v>18</v>
      </c>
      <c r="B16" s="12" t="s">
        <v>15</v>
      </c>
      <c r="C16" s="12" t="s">
        <v>22</v>
      </c>
      <c r="D16" s="13" t="n">
        <v>75000</v>
      </c>
      <c r="E16" s="13" t="n">
        <v>54960</v>
      </c>
      <c r="F16" s="12" t="s">
        <v>23</v>
      </c>
      <c r="G16" s="14" t="n">
        <f aca="false">E16/D16*100</f>
        <v>73.28</v>
      </c>
      <c r="H16" s="12" t="str">
        <f aca="false">IF(G16&gt;=100,"Met Target","Below Target")</f>
        <v>Below Target</v>
      </c>
    </row>
    <row r="17" customFormat="false" ht="15" hidden="false" customHeight="false" outlineLevel="0" collapsed="false">
      <c r="A17" s="12" t="s">
        <v>21</v>
      </c>
      <c r="B17" s="12" t="s">
        <v>15</v>
      </c>
      <c r="C17" s="12" t="s">
        <v>16</v>
      </c>
      <c r="D17" s="13" t="n">
        <v>155000</v>
      </c>
      <c r="E17" s="13" t="n">
        <v>127948</v>
      </c>
      <c r="F17" s="12" t="s">
        <v>26</v>
      </c>
      <c r="G17" s="14" t="n">
        <f aca="false">E17/D17*100</f>
        <v>82.5470967741936</v>
      </c>
      <c r="H17" s="12" t="str">
        <f aca="false">IF(G17&gt;=100,"Met Target","Below Target")</f>
        <v>Below Target</v>
      </c>
    </row>
    <row r="18" customFormat="false" ht="15" hidden="false" customHeight="false" outlineLevel="0" collapsed="false">
      <c r="A18" s="12" t="s">
        <v>24</v>
      </c>
      <c r="B18" s="12" t="s">
        <v>25</v>
      </c>
      <c r="C18" s="12" t="s">
        <v>33</v>
      </c>
      <c r="D18" s="13" t="n">
        <v>145000</v>
      </c>
      <c r="E18" s="13" t="n">
        <v>129991</v>
      </c>
      <c r="F18" s="12" t="s">
        <v>28</v>
      </c>
      <c r="G18" s="14" t="n">
        <f aca="false">E18/D18*100</f>
        <v>89.6489655172414</v>
      </c>
      <c r="H18" s="12" t="str">
        <f aca="false">IF(G18&gt;=100,"Met Target","Below Target")</f>
        <v>Below Target</v>
      </c>
    </row>
    <row r="19" customFormat="false" ht="15" hidden="false" customHeight="false" outlineLevel="0" collapsed="false">
      <c r="A19" s="12" t="s">
        <v>27</v>
      </c>
      <c r="B19" s="12" t="s">
        <v>25</v>
      </c>
      <c r="C19" s="12" t="s">
        <v>16</v>
      </c>
      <c r="D19" s="13" t="n">
        <v>75000</v>
      </c>
      <c r="E19" s="13" t="n">
        <v>82918</v>
      </c>
      <c r="F19" s="12" t="s">
        <v>30</v>
      </c>
      <c r="G19" s="14" t="n">
        <f aca="false">E19/D19*100</f>
        <v>110.557333333333</v>
      </c>
      <c r="H19" s="12" t="str">
        <f aca="false">IF(G19&gt;=100,"Met Target","Below Target")</f>
        <v>Met Target</v>
      </c>
    </row>
    <row r="20" customFormat="false" ht="15" hidden="false" customHeight="false" outlineLevel="0" collapsed="false">
      <c r="A20" s="12" t="s">
        <v>29</v>
      </c>
      <c r="B20" s="12" t="s">
        <v>25</v>
      </c>
      <c r="C20" s="12" t="s">
        <v>22</v>
      </c>
      <c r="D20" s="13" t="n">
        <v>195000</v>
      </c>
      <c r="E20" s="13" t="n">
        <v>221141</v>
      </c>
      <c r="F20" s="12" t="s">
        <v>17</v>
      </c>
      <c r="G20" s="14" t="n">
        <f aca="false">E20/D20*100</f>
        <v>113.405641025641</v>
      </c>
      <c r="H20" s="12" t="str">
        <f aca="false">IF(G20&gt;=100,"Met Target","Below Target")</f>
        <v>Met Target</v>
      </c>
    </row>
    <row r="21" customFormat="false" ht="15" hidden="false" customHeight="false" outlineLevel="0" collapsed="false">
      <c r="A21" s="12" t="s">
        <v>31</v>
      </c>
      <c r="B21" s="12" t="s">
        <v>32</v>
      </c>
      <c r="C21" s="12" t="s">
        <v>16</v>
      </c>
      <c r="D21" s="13" t="n">
        <v>155000</v>
      </c>
      <c r="E21" s="13" t="n">
        <v>175620</v>
      </c>
      <c r="F21" s="12" t="s">
        <v>20</v>
      </c>
      <c r="G21" s="14" t="n">
        <f aca="false">E21/D21*100</f>
        <v>113.303225806452</v>
      </c>
      <c r="H21" s="12" t="str">
        <f aca="false">IF(G21&gt;=100,"Met Target","Below Target")</f>
        <v>Met Target</v>
      </c>
    </row>
    <row r="22" customFormat="false" ht="15" hidden="false" customHeight="false" outlineLevel="0" collapsed="false">
      <c r="A22" s="12" t="s">
        <v>34</v>
      </c>
      <c r="B22" s="12" t="s">
        <v>32</v>
      </c>
      <c r="C22" s="12" t="s">
        <v>33</v>
      </c>
      <c r="D22" s="13" t="n">
        <v>85000</v>
      </c>
      <c r="E22" s="13" t="n">
        <v>73956</v>
      </c>
      <c r="F22" s="12" t="s">
        <v>23</v>
      </c>
      <c r="G22" s="14" t="n">
        <f aca="false">E22/D22*100</f>
        <v>87.0070588235294</v>
      </c>
      <c r="H22" s="12" t="str">
        <f aca="false">IF(G22&gt;=100,"Met Target","Below Target")</f>
        <v>Below Target</v>
      </c>
    </row>
    <row r="23" customFormat="false" ht="15" hidden="false" customHeight="false" outlineLevel="0" collapsed="false">
      <c r="A23" s="12" t="s">
        <v>35</v>
      </c>
      <c r="B23" s="12" t="s">
        <v>32</v>
      </c>
      <c r="C23" s="12" t="s">
        <v>22</v>
      </c>
      <c r="D23" s="13" t="n">
        <v>110000</v>
      </c>
      <c r="E23" s="13" t="n">
        <v>98340</v>
      </c>
      <c r="F23" s="12" t="s">
        <v>26</v>
      </c>
      <c r="G23" s="14" t="n">
        <f aca="false">E23/D23*100</f>
        <v>89.4</v>
      </c>
      <c r="H23" s="12" t="str">
        <f aca="false">IF(G23&gt;=100,"Met Target","Below Target")</f>
        <v>Below Target</v>
      </c>
    </row>
    <row r="24" customFormat="false" ht="15" hidden="false" customHeight="false" outlineLevel="0" collapsed="false">
      <c r="A24" s="12" t="s">
        <v>36</v>
      </c>
      <c r="B24" s="12" t="s">
        <v>37</v>
      </c>
      <c r="C24" s="12" t="s">
        <v>16</v>
      </c>
      <c r="D24" s="13" t="n">
        <v>195000</v>
      </c>
      <c r="E24" s="13" t="n">
        <v>168973</v>
      </c>
      <c r="F24" s="12" t="s">
        <v>28</v>
      </c>
      <c r="G24" s="14" t="n">
        <f aca="false">E24/D24*100</f>
        <v>86.6528205128205</v>
      </c>
      <c r="H24" s="12" t="str">
        <f aca="false">IF(G24&gt;=100,"Met Target","Below Target")</f>
        <v>Below Target</v>
      </c>
    </row>
    <row r="25" customFormat="false" ht="15" hidden="false" customHeight="false" outlineLevel="0" collapsed="false">
      <c r="A25" s="12" t="s">
        <v>38</v>
      </c>
      <c r="B25" s="12" t="s">
        <v>37</v>
      </c>
      <c r="C25" s="12" t="s">
        <v>22</v>
      </c>
      <c r="D25" s="13" t="n">
        <v>80000</v>
      </c>
      <c r="E25" s="13" t="n">
        <v>71951</v>
      </c>
      <c r="F25" s="12" t="s">
        <v>30</v>
      </c>
      <c r="G25" s="14" t="n">
        <f aca="false">E25/D25*100</f>
        <v>89.93875</v>
      </c>
      <c r="H25" s="12" t="str">
        <f aca="false">IF(G25&gt;=100,"Met Target","Below Target")</f>
        <v>Below Target</v>
      </c>
    </row>
    <row r="26" customFormat="false" ht="15" hidden="false" customHeight="false" outlineLevel="0" collapsed="false">
      <c r="A26" s="12" t="s">
        <v>39</v>
      </c>
      <c r="B26" s="12" t="s">
        <v>40</v>
      </c>
      <c r="C26" s="12" t="s">
        <v>19</v>
      </c>
      <c r="D26" s="13" t="n">
        <v>190000</v>
      </c>
      <c r="E26" s="13" t="n">
        <v>214201</v>
      </c>
      <c r="F26" s="12" t="s">
        <v>17</v>
      </c>
      <c r="G26" s="14" t="n">
        <f aca="false">E26/D26*100</f>
        <v>112.737368421053</v>
      </c>
      <c r="H26" s="12" t="str">
        <f aca="false">IF(G26&gt;=100,"Met Target","Below Target")</f>
        <v>Met Target</v>
      </c>
    </row>
    <row r="27" customFormat="false" ht="15" hidden="false" customHeight="false" outlineLevel="0" collapsed="false">
      <c r="A27" s="12" t="s">
        <v>41</v>
      </c>
      <c r="B27" s="12" t="s">
        <v>40</v>
      </c>
      <c r="C27" s="12" t="s">
        <v>19</v>
      </c>
      <c r="D27" s="13" t="n">
        <v>70000</v>
      </c>
      <c r="E27" s="13" t="n">
        <v>49660</v>
      </c>
      <c r="F27" s="12" t="s">
        <v>20</v>
      </c>
      <c r="G27" s="14" t="n">
        <f aca="false">E27/D27*100</f>
        <v>70.9428571428571</v>
      </c>
      <c r="H27" s="12" t="str">
        <f aca="false">IF(G27&gt;=100,"Met Target","Below Target")</f>
        <v>Below Target</v>
      </c>
    </row>
    <row r="28" customFormat="false" ht="15" hidden="false" customHeight="false" outlineLevel="0" collapsed="false">
      <c r="A28" s="12" t="s">
        <v>14</v>
      </c>
      <c r="B28" s="12" t="s">
        <v>15</v>
      </c>
      <c r="C28" s="12" t="s">
        <v>16</v>
      </c>
      <c r="D28" s="13" t="n">
        <v>165000</v>
      </c>
      <c r="E28" s="13" t="n">
        <v>179752</v>
      </c>
      <c r="F28" s="12" t="s">
        <v>23</v>
      </c>
      <c r="G28" s="14" t="n">
        <f aca="false">E28/D28*100</f>
        <v>108.940606060606</v>
      </c>
      <c r="H28" s="12" t="str">
        <f aca="false">IF(G28&gt;=100,"Met Target","Below Target")</f>
        <v>Met Target</v>
      </c>
    </row>
    <row r="29" customFormat="false" ht="15" hidden="false" customHeight="false" outlineLevel="0" collapsed="false">
      <c r="A29" s="12" t="s">
        <v>18</v>
      </c>
      <c r="B29" s="12" t="s">
        <v>15</v>
      </c>
      <c r="C29" s="12" t="s">
        <v>22</v>
      </c>
      <c r="D29" s="13" t="n">
        <v>165000</v>
      </c>
      <c r="E29" s="13" t="n">
        <v>129006</v>
      </c>
      <c r="F29" s="12" t="s">
        <v>26</v>
      </c>
      <c r="G29" s="14" t="n">
        <f aca="false">E29/D29*100</f>
        <v>78.1854545454546</v>
      </c>
      <c r="H29" s="12" t="str">
        <f aca="false">IF(G29&gt;=100,"Met Target","Below Target")</f>
        <v>Below Target</v>
      </c>
    </row>
    <row r="30" customFormat="false" ht="15" hidden="false" customHeight="false" outlineLevel="0" collapsed="false">
      <c r="A30" s="12" t="s">
        <v>21</v>
      </c>
      <c r="B30" s="12" t="s">
        <v>15</v>
      </c>
      <c r="C30" s="12" t="s">
        <v>19</v>
      </c>
      <c r="D30" s="13" t="n">
        <v>105000</v>
      </c>
      <c r="E30" s="13" t="n">
        <v>85342</v>
      </c>
      <c r="F30" s="12" t="s">
        <v>28</v>
      </c>
      <c r="G30" s="14" t="n">
        <f aca="false">E30/D30*100</f>
        <v>81.2780952380952</v>
      </c>
      <c r="H30" s="12" t="str">
        <f aca="false">IF(G30&gt;=100,"Met Target","Below Target")</f>
        <v>Below Target</v>
      </c>
    </row>
    <row r="31" customFormat="false" ht="15" hidden="false" customHeight="false" outlineLevel="0" collapsed="false">
      <c r="A31" s="12" t="s">
        <v>24</v>
      </c>
      <c r="B31" s="12" t="s">
        <v>25</v>
      </c>
      <c r="C31" s="12" t="s">
        <v>16</v>
      </c>
      <c r="D31" s="13" t="n">
        <v>130000</v>
      </c>
      <c r="E31" s="13" t="n">
        <v>111790</v>
      </c>
      <c r="F31" s="12" t="s">
        <v>30</v>
      </c>
      <c r="G31" s="14" t="n">
        <f aca="false">E31/D31*100</f>
        <v>85.9923076923077</v>
      </c>
      <c r="H31" s="12" t="str">
        <f aca="false">IF(G31&gt;=100,"Met Target","Below Target")</f>
        <v>Below Target</v>
      </c>
    </row>
    <row r="32" customFormat="false" ht="15" hidden="false" customHeight="false" outlineLevel="0" collapsed="false">
      <c r="A32" s="12" t="s">
        <v>27</v>
      </c>
      <c r="B32" s="12" t="s">
        <v>25</v>
      </c>
      <c r="C32" s="12" t="s">
        <v>33</v>
      </c>
      <c r="D32" s="13" t="n">
        <v>185000</v>
      </c>
      <c r="E32" s="13" t="n">
        <v>182647</v>
      </c>
      <c r="F32" s="12" t="s">
        <v>17</v>
      </c>
      <c r="G32" s="14" t="n">
        <f aca="false">E32/D32*100</f>
        <v>98.7281081081081</v>
      </c>
      <c r="H32" s="12" t="str">
        <f aca="false">IF(G32&gt;=100,"Met Target","Below Target")</f>
        <v>Below Target</v>
      </c>
    </row>
    <row r="33" customFormat="false" ht="15" hidden="false" customHeight="false" outlineLevel="0" collapsed="false">
      <c r="A33" s="12" t="s">
        <v>29</v>
      </c>
      <c r="B33" s="12" t="s">
        <v>25</v>
      </c>
      <c r="C33" s="12" t="s">
        <v>16</v>
      </c>
      <c r="D33" s="13" t="n">
        <v>175000</v>
      </c>
      <c r="E33" s="13" t="n">
        <v>200773</v>
      </c>
      <c r="F33" s="12" t="s">
        <v>20</v>
      </c>
      <c r="G33" s="14" t="n">
        <f aca="false">E33/D33*100</f>
        <v>114.727428571429</v>
      </c>
      <c r="H33" s="12" t="str">
        <f aca="false">IF(G33&gt;=100,"Met Target","Below Target")</f>
        <v>Met Target</v>
      </c>
    </row>
    <row r="34" customFormat="false" ht="15" hidden="false" customHeight="false" outlineLevel="0" collapsed="false">
      <c r="A34" s="12" t="s">
        <v>31</v>
      </c>
      <c r="B34" s="12" t="s">
        <v>32</v>
      </c>
      <c r="C34" s="12" t="s">
        <v>33</v>
      </c>
      <c r="D34" s="13" t="n">
        <v>110000</v>
      </c>
      <c r="E34" s="13" t="n">
        <v>126897</v>
      </c>
      <c r="F34" s="12" t="s">
        <v>23</v>
      </c>
      <c r="G34" s="14" t="n">
        <f aca="false">E34/D34*100</f>
        <v>115.360909090909</v>
      </c>
      <c r="H34" s="12" t="str">
        <f aca="false">IF(G34&gt;=100,"Met Target","Below Target")</f>
        <v>Met Target</v>
      </c>
    </row>
    <row r="35" customFormat="false" ht="15" hidden="false" customHeight="false" outlineLevel="0" collapsed="false">
      <c r="A35" s="12" t="s">
        <v>34</v>
      </c>
      <c r="B35" s="12" t="s">
        <v>32</v>
      </c>
      <c r="C35" s="12" t="s">
        <v>19</v>
      </c>
      <c r="D35" s="13" t="n">
        <v>130000</v>
      </c>
      <c r="E35" s="13" t="n">
        <v>95458</v>
      </c>
      <c r="F35" s="12" t="s">
        <v>26</v>
      </c>
      <c r="G35" s="14" t="n">
        <f aca="false">E35/D35*100</f>
        <v>73.4292307692308</v>
      </c>
      <c r="H35" s="12" t="str">
        <f aca="false">IF(G35&gt;=100,"Met Target","Below Target")</f>
        <v>Below Target</v>
      </c>
    </row>
    <row r="36" customFormat="false" ht="15" hidden="false" customHeight="false" outlineLevel="0" collapsed="false">
      <c r="A36" s="12" t="s">
        <v>35</v>
      </c>
      <c r="B36" s="12" t="s">
        <v>32</v>
      </c>
      <c r="C36" s="12" t="s">
        <v>33</v>
      </c>
      <c r="D36" s="13" t="n">
        <v>155000</v>
      </c>
      <c r="E36" s="13" t="n">
        <v>158811</v>
      </c>
      <c r="F36" s="12" t="s">
        <v>28</v>
      </c>
      <c r="G36" s="14" t="n">
        <f aca="false">E36/D36*100</f>
        <v>102.458709677419</v>
      </c>
      <c r="H36" s="12" t="str">
        <f aca="false">IF(G36&gt;=100,"Met Target","Below Target")</f>
        <v>Met Target</v>
      </c>
    </row>
    <row r="37" customFormat="false" ht="15" hidden="false" customHeight="false" outlineLevel="0" collapsed="false">
      <c r="A37" s="12" t="s">
        <v>36</v>
      </c>
      <c r="B37" s="12" t="s">
        <v>37</v>
      </c>
      <c r="C37" s="12" t="s">
        <v>22</v>
      </c>
      <c r="D37" s="13" t="n">
        <v>170000</v>
      </c>
      <c r="E37" s="13" t="n">
        <v>135531</v>
      </c>
      <c r="F37" s="12" t="s">
        <v>30</v>
      </c>
      <c r="G37" s="14" t="n">
        <f aca="false">E37/D37*100</f>
        <v>79.7241176470588</v>
      </c>
      <c r="H37" s="12" t="str">
        <f aca="false">IF(G37&gt;=100,"Met Target","Below Target")</f>
        <v>Below Target</v>
      </c>
    </row>
    <row r="38" customFormat="false" ht="15" hidden="false" customHeight="false" outlineLevel="0" collapsed="false">
      <c r="A38" s="12" t="s">
        <v>38</v>
      </c>
      <c r="B38" s="12" t="s">
        <v>37</v>
      </c>
      <c r="C38" s="12" t="s">
        <v>33</v>
      </c>
      <c r="D38" s="13" t="n">
        <v>95000</v>
      </c>
      <c r="E38" s="13" t="n">
        <v>80037</v>
      </c>
      <c r="F38" s="12" t="s">
        <v>17</v>
      </c>
      <c r="G38" s="14" t="n">
        <f aca="false">E38/D38*100</f>
        <v>84.2494736842105</v>
      </c>
      <c r="H38" s="12" t="str">
        <f aca="false">IF(G38&gt;=100,"Met Target","Below Target")</f>
        <v>Below Target</v>
      </c>
    </row>
    <row r="39" customFormat="false" ht="15" hidden="false" customHeight="false" outlineLevel="0" collapsed="false">
      <c r="A39" s="12" t="s">
        <v>39</v>
      </c>
      <c r="B39" s="12" t="s">
        <v>40</v>
      </c>
      <c r="C39" s="12" t="s">
        <v>19</v>
      </c>
      <c r="D39" s="13" t="n">
        <v>50000</v>
      </c>
      <c r="E39" s="13" t="n">
        <v>56959</v>
      </c>
      <c r="F39" s="12" t="s">
        <v>20</v>
      </c>
      <c r="G39" s="14" t="n">
        <f aca="false">E39/D39*100</f>
        <v>113.918</v>
      </c>
      <c r="H39" s="12" t="str">
        <f aca="false">IF(G39&gt;=100,"Met Target","Below Target")</f>
        <v>Met Target</v>
      </c>
    </row>
    <row r="40" customFormat="false" ht="15" hidden="false" customHeight="false" outlineLevel="0" collapsed="false">
      <c r="A40" s="12" t="s">
        <v>41</v>
      </c>
      <c r="B40" s="12" t="s">
        <v>40</v>
      </c>
      <c r="C40" s="12" t="s">
        <v>22</v>
      </c>
      <c r="D40" s="13" t="n">
        <v>130000</v>
      </c>
      <c r="E40" s="13" t="n">
        <v>107022</v>
      </c>
      <c r="F40" s="12" t="s">
        <v>23</v>
      </c>
      <c r="G40" s="14" t="n">
        <f aca="false">E40/D40*100</f>
        <v>82.3246153846154</v>
      </c>
      <c r="H40" s="12" t="str">
        <f aca="false">IF(G40&gt;=100,"Met Target","Below Target")</f>
        <v>Below Target</v>
      </c>
    </row>
    <row r="41" customFormat="false" ht="15" hidden="false" customHeight="false" outlineLevel="0" collapsed="false">
      <c r="A41" s="12" t="s">
        <v>14</v>
      </c>
      <c r="B41" s="12" t="s">
        <v>15</v>
      </c>
      <c r="C41" s="12" t="s">
        <v>33</v>
      </c>
      <c r="D41" s="13" t="n">
        <v>185000</v>
      </c>
      <c r="E41" s="13" t="n">
        <v>205335</v>
      </c>
      <c r="F41" s="12" t="s">
        <v>26</v>
      </c>
      <c r="G41" s="14" t="n">
        <f aca="false">E41/D41*100</f>
        <v>110.991891891892</v>
      </c>
      <c r="H41" s="12" t="str">
        <f aca="false">IF(G41&gt;=100,"Met Target","Below Target")</f>
        <v>Met Target</v>
      </c>
    </row>
    <row r="42" customFormat="false" ht="15" hidden="false" customHeight="false" outlineLevel="0" collapsed="false">
      <c r="A42" s="12" t="s">
        <v>18</v>
      </c>
      <c r="B42" s="12" t="s">
        <v>15</v>
      </c>
      <c r="C42" s="12" t="s">
        <v>16</v>
      </c>
      <c r="D42" s="13" t="n">
        <v>70000</v>
      </c>
      <c r="E42" s="13" t="n">
        <v>51356</v>
      </c>
      <c r="F42" s="12" t="s">
        <v>28</v>
      </c>
      <c r="G42" s="14" t="n">
        <f aca="false">E42/D42*100</f>
        <v>73.3657142857143</v>
      </c>
      <c r="H42" s="12" t="str">
        <f aca="false">IF(G42&gt;=100,"Met Target","Below Target")</f>
        <v>Below Target</v>
      </c>
    </row>
    <row r="43" customFormat="false" ht="15" hidden="false" customHeight="false" outlineLevel="0" collapsed="false">
      <c r="A43" s="12" t="s">
        <v>21</v>
      </c>
      <c r="B43" s="12" t="s">
        <v>15</v>
      </c>
      <c r="C43" s="12" t="s">
        <v>16</v>
      </c>
      <c r="D43" s="13" t="n">
        <v>135000</v>
      </c>
      <c r="E43" s="13" t="n">
        <v>136115</v>
      </c>
      <c r="F43" s="12" t="s">
        <v>30</v>
      </c>
      <c r="G43" s="14" t="n">
        <f aca="false">E43/D43*100</f>
        <v>100.825925925926</v>
      </c>
      <c r="H43" s="12" t="str">
        <f aca="false">IF(G43&gt;=100,"Met Target","Below Target")</f>
        <v>Met Target</v>
      </c>
    </row>
    <row r="44" customFormat="false" ht="15" hidden="false" customHeight="false" outlineLevel="0" collapsed="false">
      <c r="A44" s="12" t="s">
        <v>24</v>
      </c>
      <c r="B44" s="12" t="s">
        <v>25</v>
      </c>
      <c r="C44" s="12" t="s">
        <v>33</v>
      </c>
      <c r="D44" s="13" t="n">
        <v>145000</v>
      </c>
      <c r="E44" s="13" t="n">
        <v>118342</v>
      </c>
      <c r="F44" s="12" t="s">
        <v>17</v>
      </c>
      <c r="G44" s="14" t="n">
        <f aca="false">E44/D44*100</f>
        <v>81.6151724137931</v>
      </c>
      <c r="H44" s="12" t="str">
        <f aca="false">IF(G44&gt;=100,"Met Target","Below Target")</f>
        <v>Below Target</v>
      </c>
    </row>
    <row r="45" customFormat="false" ht="15" hidden="false" customHeight="false" outlineLevel="0" collapsed="false">
      <c r="A45" s="12" t="s">
        <v>27</v>
      </c>
      <c r="B45" s="12" t="s">
        <v>25</v>
      </c>
      <c r="C45" s="12" t="s">
        <v>33</v>
      </c>
      <c r="D45" s="13" t="n">
        <v>65000</v>
      </c>
      <c r="E45" s="13" t="n">
        <v>82042</v>
      </c>
      <c r="F45" s="12" t="s">
        <v>20</v>
      </c>
      <c r="G45" s="14" t="n">
        <f aca="false">E45/D45*100</f>
        <v>126.218461538462</v>
      </c>
      <c r="H45" s="12" t="str">
        <f aca="false">IF(G45&gt;=100,"Met Target","Below Target")</f>
        <v>Met Target</v>
      </c>
    </row>
    <row r="46" customFormat="false" ht="15" hidden="false" customHeight="false" outlineLevel="0" collapsed="false">
      <c r="A46" s="12" t="s">
        <v>29</v>
      </c>
      <c r="B46" s="12" t="s">
        <v>25</v>
      </c>
      <c r="C46" s="12" t="s">
        <v>22</v>
      </c>
      <c r="D46" s="13" t="n">
        <v>85000</v>
      </c>
      <c r="E46" s="13" t="n">
        <v>80240</v>
      </c>
      <c r="F46" s="12" t="s">
        <v>23</v>
      </c>
      <c r="G46" s="14" t="n">
        <f aca="false">E46/D46*100</f>
        <v>94.4</v>
      </c>
      <c r="H46" s="12" t="str">
        <f aca="false">IF(G46&gt;=100,"Met Target","Below Target")</f>
        <v>Below Target</v>
      </c>
    </row>
    <row r="47" customFormat="false" ht="15" hidden="false" customHeight="false" outlineLevel="0" collapsed="false">
      <c r="A47" s="12" t="s">
        <v>31</v>
      </c>
      <c r="B47" s="12" t="s">
        <v>32</v>
      </c>
      <c r="C47" s="12" t="s">
        <v>33</v>
      </c>
      <c r="D47" s="13" t="n">
        <v>60000</v>
      </c>
      <c r="E47" s="13" t="n">
        <v>76758</v>
      </c>
      <c r="F47" s="12" t="s">
        <v>26</v>
      </c>
      <c r="G47" s="14" t="n">
        <f aca="false">E47/D47*100</f>
        <v>127.93</v>
      </c>
      <c r="H47" s="12" t="str">
        <f aca="false">IF(G47&gt;=100,"Met Target","Below Target")</f>
        <v>Met Target</v>
      </c>
    </row>
    <row r="48" customFormat="false" ht="15" hidden="false" customHeight="false" outlineLevel="0" collapsed="false">
      <c r="A48" s="12" t="s">
        <v>34</v>
      </c>
      <c r="B48" s="12" t="s">
        <v>32</v>
      </c>
      <c r="C48" s="12" t="s">
        <v>33</v>
      </c>
      <c r="D48" s="13" t="n">
        <v>170000</v>
      </c>
      <c r="E48" s="13" t="n">
        <v>136213</v>
      </c>
      <c r="F48" s="12" t="s">
        <v>28</v>
      </c>
      <c r="G48" s="14" t="n">
        <f aca="false">E48/D48*100</f>
        <v>80.1252941176471</v>
      </c>
      <c r="H48" s="12" t="str">
        <f aca="false">IF(G48&gt;=100,"Met Target","Below Target")</f>
        <v>Below Target</v>
      </c>
    </row>
    <row r="49" customFormat="false" ht="15" hidden="false" customHeight="false" outlineLevel="0" collapsed="false">
      <c r="A49" s="12" t="s">
        <v>35</v>
      </c>
      <c r="B49" s="12" t="s">
        <v>32</v>
      </c>
      <c r="C49" s="12" t="s">
        <v>16</v>
      </c>
      <c r="D49" s="13" t="n">
        <v>70000</v>
      </c>
      <c r="E49" s="13" t="n">
        <v>70491</v>
      </c>
      <c r="F49" s="12" t="s">
        <v>30</v>
      </c>
      <c r="G49" s="14" t="n">
        <f aca="false">E49/D49*100</f>
        <v>100.701428571429</v>
      </c>
      <c r="H49" s="12" t="str">
        <f aca="false">IF(G49&gt;=100,"Met Target","Below Target")</f>
        <v>Met Target</v>
      </c>
    </row>
    <row r="50" customFormat="false" ht="15" hidden="false" customHeight="false" outlineLevel="0" collapsed="false">
      <c r="A50" s="12" t="s">
        <v>36</v>
      </c>
      <c r="B50" s="12" t="s">
        <v>37</v>
      </c>
      <c r="C50" s="12" t="s">
        <v>16</v>
      </c>
      <c r="D50" s="13" t="n">
        <v>90000</v>
      </c>
      <c r="E50" s="13" t="n">
        <v>69412</v>
      </c>
      <c r="F50" s="12" t="s">
        <v>17</v>
      </c>
      <c r="G50" s="14" t="n">
        <f aca="false">E50/D50*100</f>
        <v>77.1244444444444</v>
      </c>
      <c r="H50" s="12" t="str">
        <f aca="false">IF(G50&gt;=100,"Met Target","Below Target")</f>
        <v>Below Target</v>
      </c>
    </row>
    <row r="51" customFormat="false" ht="15" hidden="false" customHeight="false" outlineLevel="0" collapsed="false">
      <c r="A51" s="12" t="s">
        <v>38</v>
      </c>
      <c r="B51" s="12" t="s">
        <v>37</v>
      </c>
      <c r="C51" s="12" t="s">
        <v>19</v>
      </c>
      <c r="D51" s="13" t="n">
        <v>200000</v>
      </c>
      <c r="E51" s="13" t="n">
        <v>157004</v>
      </c>
      <c r="F51" s="12" t="s">
        <v>20</v>
      </c>
      <c r="G51" s="14" t="n">
        <f aca="false">E51/D51*100</f>
        <v>78.502</v>
      </c>
      <c r="H51" s="12" t="str">
        <f aca="false">IF(G51&gt;=100,"Met Target","Below Target")</f>
        <v>Below Target</v>
      </c>
    </row>
  </sheetData>
  <conditionalFormatting sqref="H2:H51">
    <cfRule type="cellIs" priority="2" operator="equal" aboveAverage="0" equalAverage="0" bottom="0" percent="0" rank="0" text="" dxfId="0">
      <formula>"Met Target"</formula>
    </cfRule>
    <cfRule type="cellIs" priority="3" operator="equal" aboveAverage="0" equalAverage="0" bottom="0" percent="0" rank="0" text="" dxfId="1">
      <formula>"Below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0" t="s">
        <v>42</v>
      </c>
    </row>
    <row r="3" customFormat="false" ht="15" hidden="false" customHeight="false" outlineLevel="0" collapsed="false">
      <c r="A3" s="11" t="s">
        <v>7</v>
      </c>
      <c r="B3" s="11" t="s">
        <v>43</v>
      </c>
    </row>
    <row r="4" customFormat="false" ht="15" hidden="false" customHeight="false" outlineLevel="0" collapsed="false">
      <c r="A4" s="12" t="s">
        <v>40</v>
      </c>
      <c r="B4" s="15" t="n">
        <f aca="false">SUMIF('Raw Data'!$B$2:$B$51,A4,'Raw Data'!$E$2:$E$51)</f>
        <v>536334</v>
      </c>
    </row>
    <row r="5" customFormat="false" ht="15" hidden="false" customHeight="false" outlineLevel="0" collapsed="false">
      <c r="A5" s="12" t="s">
        <v>37</v>
      </c>
      <c r="B5" s="15" t="n">
        <f aca="false">SUMIF('Raw Data'!$B$2:$B$51,A5,'Raw Data'!$E$2:$E$51)</f>
        <v>838716</v>
      </c>
    </row>
    <row r="6" customFormat="false" ht="15" hidden="false" customHeight="false" outlineLevel="0" collapsed="false">
      <c r="A6" s="12" t="s">
        <v>15</v>
      </c>
      <c r="B6" s="15" t="n">
        <f aca="false">SUMIF('Raw Data'!$B$2:$B$51,A6,'Raw Data'!$E$2:$E$51)</f>
        <v>1494841</v>
      </c>
    </row>
    <row r="7" customFormat="false" ht="15" hidden="false" customHeight="false" outlineLevel="0" collapsed="false">
      <c r="A7" s="12" t="s">
        <v>25</v>
      </c>
      <c r="B7" s="15" t="n">
        <f aca="false">SUMIF('Raw Data'!$B$2:$B$51,A7,'Raw Data'!$E$2:$E$51)</f>
        <v>1478230</v>
      </c>
    </row>
    <row r="8" customFormat="false" ht="15" hidden="false" customHeight="false" outlineLevel="0" collapsed="false">
      <c r="A8" s="12" t="s">
        <v>32</v>
      </c>
      <c r="B8" s="15" t="n">
        <f aca="false">SUMIF('Raw Data'!$B$2:$B$51,A8,'Raw Data'!$E$2:$E$51)</f>
        <v>1386191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0" t="s">
        <v>44</v>
      </c>
    </row>
    <row r="3" customFormat="false" ht="15" hidden="false" customHeight="false" outlineLevel="0" collapsed="false">
      <c r="A3" s="11" t="s">
        <v>6</v>
      </c>
      <c r="B3" s="11" t="s">
        <v>12</v>
      </c>
    </row>
    <row r="4" customFormat="false" ht="15" hidden="false" customHeight="false" outlineLevel="0" collapsed="false">
      <c r="A4" s="12" t="s">
        <v>31</v>
      </c>
      <c r="B4" s="14" t="n">
        <f aca="false">AVERAGEIF('Raw Data'!$A$2:$A$51,A4,'Raw Data'!$G$2:$G$51)</f>
        <v>122.167819438626</v>
      </c>
    </row>
    <row r="5" customFormat="false" ht="15" hidden="false" customHeight="false" outlineLevel="0" collapsed="false">
      <c r="A5" s="12" t="s">
        <v>39</v>
      </c>
      <c r="B5" s="14" t="n">
        <f aca="false">AVERAGEIF('Raw Data'!$A$2:$A$51,A5,'Raw Data'!$G$2:$G$51)</f>
        <v>110.591183413078</v>
      </c>
    </row>
    <row r="6" customFormat="false" ht="15" hidden="false" customHeight="false" outlineLevel="0" collapsed="false">
      <c r="A6" s="12" t="s">
        <v>27</v>
      </c>
      <c r="B6" s="14" t="n">
        <f aca="false">AVERAGEIF('Raw Data'!$A$2:$A$51,A6,'Raw Data'!$G$2:$G$51)</f>
        <v>109.44419003069</v>
      </c>
    </row>
    <row r="7" customFormat="false" ht="15" hidden="false" customHeight="false" outlineLevel="0" collapsed="false">
      <c r="A7" s="12" t="s">
        <v>14</v>
      </c>
      <c r="B7" s="14" t="n">
        <f aca="false">AVERAGEIF('Raw Data'!$A$2:$A$51,A7,'Raw Data'!$G$2:$G$51)</f>
        <v>107.889800624488</v>
      </c>
    </row>
    <row r="8" customFormat="false" ht="15" hidden="false" customHeight="false" outlineLevel="0" collapsed="false">
      <c r="A8" s="12" t="s">
        <v>29</v>
      </c>
      <c r="B8" s="14" t="n">
        <f aca="false">AVERAGEIF('Raw Data'!$A$2:$A$51,A8,'Raw Data'!$G$2:$G$51)</f>
        <v>104.517498168498</v>
      </c>
    </row>
    <row r="9" customFormat="false" ht="15" hidden="false" customHeight="false" outlineLevel="0" collapsed="false">
      <c r="A9" s="12" t="s">
        <v>35</v>
      </c>
      <c r="B9" s="14" t="n">
        <f aca="false">AVERAGEIF('Raw Data'!$A$2:$A$51,A9,'Raw Data'!$G$2:$G$51)</f>
        <v>94.460034562212</v>
      </c>
    </row>
    <row r="10" customFormat="false" ht="15" hidden="false" customHeight="false" outlineLevel="0" collapsed="false">
      <c r="A10" s="12" t="s">
        <v>21</v>
      </c>
      <c r="B10" s="14" t="n">
        <f aca="false">AVERAGEIF('Raw Data'!$A$2:$A$51,A10,'Raw Data'!$G$2:$G$51)</f>
        <v>90.8087794845537</v>
      </c>
    </row>
    <row r="11" customFormat="false" ht="15" hidden="false" customHeight="false" outlineLevel="0" collapsed="false">
      <c r="A11" s="12" t="s">
        <v>24</v>
      </c>
      <c r="B11" s="14" t="n">
        <f aca="false">AVERAGEIF('Raw Data'!$A$2:$A$51,A11,'Raw Data'!$G$2:$G$51)</f>
        <v>85.3541114058355</v>
      </c>
    </row>
    <row r="12" customFormat="false" ht="15" hidden="false" customHeight="false" outlineLevel="0" collapsed="false">
      <c r="A12" s="12" t="s">
        <v>38</v>
      </c>
      <c r="B12" s="14" t="n">
        <f aca="false">AVERAGEIF('Raw Data'!$A$2:$A$51,A12,'Raw Data'!$G$2:$G$51)</f>
        <v>82.6721987781955</v>
      </c>
    </row>
    <row r="13" customFormat="false" ht="15" hidden="false" customHeight="false" outlineLevel="0" collapsed="false">
      <c r="A13" s="12" t="s">
        <v>36</v>
      </c>
      <c r="B13" s="14" t="n">
        <f aca="false">AVERAGEIF('Raw Data'!$A$2:$A$51,A13,'Raw Data'!$G$2:$G$51)</f>
        <v>80.2961789844143</v>
      </c>
    </row>
    <row r="14" customFormat="false" ht="15" hidden="false" customHeight="false" outlineLevel="0" collapsed="false">
      <c r="A14" s="12" t="s">
        <v>41</v>
      </c>
      <c r="B14" s="14" t="n">
        <f aca="false">AVERAGEIF('Raw Data'!$A$2:$A$51,A14,'Raw Data'!$G$2:$G$51)</f>
        <v>79.2430463980464</v>
      </c>
    </row>
    <row r="15" customFormat="false" ht="15" hidden="false" customHeight="false" outlineLevel="0" collapsed="false">
      <c r="A15" s="12" t="s">
        <v>34</v>
      </c>
      <c r="B15" s="14" t="n">
        <f aca="false">AVERAGEIF('Raw Data'!$A$2:$A$51,A15,'Raw Data'!$G$2:$G$51)</f>
        <v>77.2601102133161</v>
      </c>
    </row>
    <row r="16" customFormat="false" ht="15" hidden="false" customHeight="false" outlineLevel="0" collapsed="false">
      <c r="A16" s="12" t="s">
        <v>18</v>
      </c>
      <c r="B16" s="14" t="n">
        <f aca="false">AVERAGEIF('Raw Data'!$A$2:$A$51,A16,'Raw Data'!$G$2:$G$51)</f>
        <v>74.9798510313216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0" t="s">
        <v>45</v>
      </c>
    </row>
    <row r="3" customFormat="false" ht="15" hidden="false" customHeight="false" outlineLevel="0" collapsed="false">
      <c r="A3" s="11" t="s">
        <v>11</v>
      </c>
      <c r="B3" s="11" t="s">
        <v>43</v>
      </c>
    </row>
    <row r="4" customFormat="false" ht="15" hidden="false" customHeight="false" outlineLevel="0" collapsed="false">
      <c r="A4" s="12" t="s">
        <v>17</v>
      </c>
      <c r="B4" s="15" t="n">
        <f aca="false">SUMIF('Raw Data'!$F$2:$F$51,A4,'Raw Data'!$E$2:$E$51)</f>
        <v>1253988</v>
      </c>
    </row>
    <row r="5" customFormat="false" ht="15" hidden="false" customHeight="false" outlineLevel="0" collapsed="false">
      <c r="A5" s="12" t="s">
        <v>20</v>
      </c>
      <c r="B5" s="15" t="n">
        <f aca="false">SUMIF('Raw Data'!$F$2:$F$51,A5,'Raw Data'!$E$2:$E$51)</f>
        <v>1015551</v>
      </c>
    </row>
    <row r="6" customFormat="false" ht="15" hidden="false" customHeight="false" outlineLevel="0" collapsed="false">
      <c r="A6" s="12" t="s">
        <v>23</v>
      </c>
      <c r="B6" s="15" t="n">
        <f aca="false">SUMIF('Raw Data'!$F$2:$F$51,A6,'Raw Data'!$E$2:$E$51)</f>
        <v>910477</v>
      </c>
    </row>
    <row r="7" customFormat="false" ht="15" hidden="false" customHeight="false" outlineLevel="0" collapsed="false">
      <c r="A7" s="12" t="s">
        <v>26</v>
      </c>
      <c r="B7" s="15" t="n">
        <f aca="false">SUMIF('Raw Data'!$F$2:$F$51,A7,'Raw Data'!$E$2:$E$51)</f>
        <v>914111</v>
      </c>
    </row>
    <row r="8" customFormat="false" ht="15" hidden="false" customHeight="false" outlineLevel="0" collapsed="false">
      <c r="A8" s="12" t="s">
        <v>28</v>
      </c>
      <c r="B8" s="15" t="n">
        <f aca="false">SUMIF('Raw Data'!$F$2:$F$51,A8,'Raw Data'!$E$2:$E$51)</f>
        <v>911475</v>
      </c>
    </row>
    <row r="9" customFormat="false" ht="15" hidden="false" customHeight="false" outlineLevel="0" collapsed="false">
      <c r="A9" s="12" t="s">
        <v>30</v>
      </c>
      <c r="B9" s="15" t="n">
        <f aca="false">SUMIF('Raw Data'!$F$2:$F$51,A9,'Raw Data'!$E$2:$E$51)</f>
        <v>728710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2026-07-01T06:02:51Z</dcterms:created>
  <dc:creator>openpyxl</dc:creator>
  <dc:description/>
  <dc:language>en-US</dc:language>
  <cp:lastModifiedBy/>
  <dcterms:modified xsi:type="dcterms:W3CDTF">2026-07-01T06:03:01Z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